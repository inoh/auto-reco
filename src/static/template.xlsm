
<file path=[Content_Types].xml><?xml version="1.0" encoding="utf-8"?>
<Types xmlns="http://schemas.openxmlformats.org/package/2006/content-types">
  <Override PartName="/xl/activeX/activeX4.bin" ContentType="application/vnd.ms-office.activeX"/>
  <Override PartName="/xl/activeX/activeX54.bin" ContentType="application/vnd.ms-office.activeX"/>
  <Override PartName="/xl/activeX/activeX148.xml" ContentType="application/vnd.ms-office.activeX+xml"/>
  <Override PartName="/xl/activeX/activeX195.xml" ContentType="application/vnd.ms-office.activeX+xml"/>
  <Override PartName="/xl/activeX/activeX211.xml" ContentType="application/vnd.ms-office.activeX+xml"/>
  <Override PartName="/xl/activeX/activeX248.bin" ContentType="application/vnd.ms-office.activeX"/>
  <Override PartName="/xl/styles.xml" ContentType="application/vnd.openxmlformats-officedocument.spreadsheetml.styles+xml"/>
  <Override PartName="/xl/activeX/activeX32.bin" ContentType="application/vnd.ms-office.activeX"/>
  <Override PartName="/xl/activeX/activeX77.xml" ContentType="application/vnd.ms-office.activeX+xml"/>
  <Override PartName="/xl/activeX/activeX103.bin" ContentType="application/vnd.ms-office.activeX"/>
  <Override PartName="/xl/activeX/activeX150.bin" ContentType="application/vnd.ms-office.activeX"/>
  <Override PartName="/xl/activeX/activeX5.xml" ContentType="application/vnd.ms-office.activeX+xml"/>
  <Override PartName="/xl/activeX/activeX55.xml" ContentType="application/vnd.ms-office.activeX+xml"/>
  <Override PartName="/xl/activeX/activeX126.xml" ContentType="application/vnd.ms-office.activeX+xml"/>
  <Override PartName="/xl/activeX/activeX173.xml" ContentType="application/vnd.ms-office.activeX+xml"/>
  <Override PartName="/xl/activeX/activeX226.bin" ContentType="application/vnd.ms-office.activeX"/>
  <Override PartName="/xl/activeX/activeX273.bin" ContentType="application/vnd.ms-office.activeX"/>
  <Default Extension="xml" ContentType="application/xml"/>
  <Override PartName="/xl/activeX/activeX10.bin" ContentType="application/vnd.ms-office.activeX"/>
  <Override PartName="/xl/activeX/activeX104.xml" ContentType="application/vnd.ms-office.activeX+xml"/>
  <Override PartName="/xl/activeX/activeX151.xml" ContentType="application/vnd.ms-office.activeX+xml"/>
  <Override PartName="/xl/activeX/activeX204.bin" ContentType="application/vnd.ms-office.activeX"/>
  <Override PartName="/xl/activeX/activeX249.xml" ContentType="application/vnd.ms-office.activeX+xml"/>
  <Override PartName="/xl/activeX/activeX251.bin" ContentType="application/vnd.ms-office.activeX"/>
  <Override PartName="/xl/activeX/activeX33.xml" ContentType="application/vnd.ms-office.activeX+xml"/>
  <Override PartName="/xl/activeX/activeX80.xml" ContentType="application/vnd.ms-office.activeX+xml"/>
  <Override PartName="/xl/activeX/activeX188.bin" ContentType="application/vnd.ms-office.activeX"/>
  <Override PartName="/xl/activeX/activeX227.xml" ContentType="application/vnd.ms-office.activeX+xml"/>
  <Override PartName="/xl/activeX/activeX274.xml" ContentType="application/vnd.ms-office.activeX+xml"/>
  <Override PartName="/xl/activeX/activeX11.xml" ContentType="application/vnd.ms-office.activeX+xml"/>
  <Override PartName="/xl/activeX/activeX48.bin" ContentType="application/vnd.ms-office.activeX"/>
  <Override PartName="/xl/activeX/activeX95.bin" ContentType="application/vnd.ms-office.activeX"/>
  <Override PartName="/xl/activeX/activeX119.bin" ContentType="application/vnd.ms-office.activeX"/>
  <Override PartName="/xl/activeX/activeX166.bin" ContentType="application/vnd.ms-office.activeX"/>
  <Override PartName="/xl/activeX/activeX205.xml" ContentType="application/vnd.ms-office.activeX+xml"/>
  <Override PartName="/xl/activeX/activeX252.xml" ContentType="application/vnd.ms-office.activeX+xml"/>
  <Override PartName="/xl/activeX/activeX144.bin" ContentType="application/vnd.ms-office.activeX"/>
  <Override PartName="/xl/activeX/activeX189.xml" ContentType="application/vnd.ms-office.activeX+xml"/>
  <Override PartName="/xl/activeX/activeX191.bin" ContentType="application/vnd.ms-office.activeX"/>
  <Override PartName="/xl/activeX/activeX230.xml" ContentType="application/vnd.ms-office.activeX+xml"/>
  <Override PartName="/xl/activeX/activeX26.bin" ContentType="application/vnd.ms-office.activeX"/>
  <Override PartName="/xl/activeX/activeX73.bin" ContentType="application/vnd.ms-office.activeX"/>
  <Override PartName="/xl/activeX/activeX167.xml" ContentType="application/vnd.ms-office.activeX+xml"/>
  <Override PartName="/xl/activeX/activeX267.bin" ContentType="application/vnd.ms-office.activeX"/>
  <Override PartName="/xl/activeX/activeX1.bin" ContentType="application/vnd.ms-office.activeX"/>
  <Override PartName="/xl/activeX/activeX49.xml" ContentType="application/vnd.ms-office.activeX+xml"/>
  <Override PartName="/xl/activeX/activeX51.bin" ContentType="application/vnd.ms-office.activeX"/>
  <Override PartName="/xl/activeX/activeX96.xml" ContentType="application/vnd.ms-office.activeX+xml"/>
  <Override PartName="/xl/activeX/activeX122.bin" ContentType="application/vnd.ms-office.activeX"/>
  <Override PartName="/xl/worksheets/sheet8.xml" ContentType="application/vnd.openxmlformats-officedocument.spreadsheetml.worksheet+xml"/>
  <Override PartName="/xl/activeX/activeX27.xml" ContentType="application/vnd.ms-office.activeX+xml"/>
  <Override PartName="/xl/activeX/activeX74.xml" ContentType="application/vnd.ms-office.activeX+xml"/>
  <Override PartName="/xl/activeX/activeX100.bin" ContentType="application/vnd.ms-office.activeX"/>
  <Default Extension="emf" ContentType="image/x-emf"/>
  <Override PartName="/xl/activeX/activeX145.xml" ContentType="application/vnd.ms-office.activeX+xml"/>
  <Override PartName="/xl/activeX/activeX192.xml" ContentType="application/vnd.ms-office.activeX+xml"/>
  <Override PartName="/xl/activeX/activeX245.bin" ContentType="application/vnd.ms-office.activeX"/>
  <Override PartName="/xl/activeX/activeX2.xml" ContentType="application/vnd.ms-office.activeX+xml"/>
  <Override PartName="/xl/activeX/activeX123.xml" ContentType="application/vnd.ms-office.activeX+xml"/>
  <Override PartName="/xl/activeX/activeX170.xml" ContentType="application/vnd.ms-office.activeX+xml"/>
  <Override PartName="/xl/activeX/activeX223.bin" ContentType="application/vnd.ms-office.activeX"/>
  <Override PartName="/xl/activeX/activeX268.xml" ContentType="application/vnd.ms-office.activeX+xml"/>
  <Override PartName="/xl/activeX/activeX270.bin" ContentType="application/vnd.ms-office.activeX"/>
  <Override PartName="/xl/activeX/activeX52.xml" ContentType="application/vnd.ms-office.activeX+xml"/>
  <Override PartName="/xl/activeX/activeX89.bin" ContentType="application/vnd.ms-office.activeX"/>
  <Override PartName="/xl/activeX/activeX246.xml" ContentType="application/vnd.ms-office.activeX+xml"/>
  <Override PartName="/xl/activeX/activeX30.xml" ContentType="application/vnd.ms-office.activeX+xml"/>
  <Override PartName="/xl/activeX/activeX101.xml" ContentType="application/vnd.ms-office.activeX+xml"/>
  <Override PartName="/xl/activeX/activeX138.bin" ContentType="application/vnd.ms-office.activeX"/>
  <Override PartName="/xl/activeX/activeX185.bin" ContentType="application/vnd.ms-office.activeX"/>
  <Override PartName="/xl/activeX/activeX201.bin" ContentType="application/vnd.ms-office.activeX"/>
  <Override PartName="/xl/calcChain.xml" ContentType="application/vnd.openxmlformats-officedocument.spreadsheetml.calcChain+xml"/>
  <Override PartName="/xl/activeX/activeX67.bin" ContentType="application/vnd.ms-office.activeX"/>
  <Override PartName="/xl/activeX/activeX224.xml" ContentType="application/vnd.ms-office.activeX+xml"/>
  <Override PartName="/xl/activeX/activeX271.xml" ContentType="application/vnd.ms-office.activeX+xml"/>
  <Override PartName="/xl/activeX/activeX45.bin" ContentType="application/vnd.ms-office.activeX"/>
  <Override PartName="/xl/activeX/activeX92.bin" ContentType="application/vnd.ms-office.activeX"/>
  <Override PartName="/xl/activeX/activeX116.bin" ContentType="application/vnd.ms-office.activeX"/>
  <Override PartName="/xl/activeX/activeX163.bin" ContentType="application/vnd.ms-office.activeX"/>
  <Override PartName="/xl/activeX/activeX202.xml" ContentType="application/vnd.ms-office.activeX+xml"/>
  <Override PartName="/xl/activeX/activeX68.xml" ContentType="application/vnd.ms-office.activeX+xml"/>
  <Override PartName="/xl/activeX/activeX139.xml" ContentType="application/vnd.ms-office.activeX+xml"/>
  <Override PartName="/xl/activeX/activeX186.xml" ContentType="application/vnd.ms-office.activeX+xml"/>
  <Override PartName="/xl/activeX/activeX239.bin" ContentType="application/vnd.ms-office.activeX"/>
  <Override PartName="/xl/activeX/activeX286.bin" ContentType="application/vnd.ms-office.activeX"/>
  <Override PartName="/xl/activeX/activeX23.bin" ContentType="application/vnd.ms-office.activeX"/>
  <Override PartName="/xl/activeX/activeX70.bin" ContentType="application/vnd.ms-office.activeX"/>
  <Override PartName="/xl/activeX/activeX141.bin" ContentType="application/vnd.ms-office.activeX"/>
  <Override PartName="/xl/activeX/activeX46.xml" ContentType="application/vnd.ms-office.activeX+xml"/>
  <Override PartName="/xl/activeX/activeX93.xml" ContentType="application/vnd.ms-office.activeX+xml"/>
  <Override PartName="/xl/activeX/activeX117.xml" ContentType="application/vnd.ms-office.activeX+xml"/>
  <Override PartName="/xl/activeX/activeX164.xml" ContentType="application/vnd.ms-office.activeX+xml"/>
  <Override PartName="/xl/activeX/activeX217.bin" ContentType="application/vnd.ms-office.activeX"/>
  <Override PartName="/xl/activeX/activeX264.bin" ContentType="application/vnd.ms-office.activeX"/>
  <Override PartName="/xl/drawings/drawing4.xml" ContentType="application/vnd.openxmlformats-officedocument.drawing+xml"/>
  <Override PartName="/xl/worksheets/sheet5.xml" ContentType="application/vnd.openxmlformats-officedocument.spreadsheetml.worksheet+xml"/>
  <Override PartName="/xl/activeX/activeX24.xml" ContentType="application/vnd.ms-office.activeX+xml"/>
  <Override PartName="/xl/activeX/activeX142.xml" ContentType="application/vnd.ms-office.activeX+xml"/>
  <Override PartName="/xl/activeX/activeX242.bin" ContentType="application/vnd.ms-office.activeX"/>
  <Override PartName="/xl/activeX/activeX287.xml" ContentType="application/vnd.ms-office.activeX+xml"/>
  <Override PartName="/xl/activeX/activeX71.xml" ContentType="application/vnd.ms-office.activeX+xml"/>
  <Override PartName="/xl/activeX/activeX179.bin" ContentType="application/vnd.ms-office.activeX"/>
  <Override PartName="/xl/activeX/activeX218.xml" ContentType="application/vnd.ms-office.activeX+xml"/>
  <Override PartName="/xl/activeX/activeX265.xml" ContentType="application/vnd.ms-office.activeX+xml"/>
  <Override PartName="/xl/activeX/activeX120.xml" ContentType="application/vnd.ms-office.activeX+xml"/>
  <Override PartName="/xl/activeX/activeX157.bin" ContentType="application/vnd.ms-office.activeX"/>
  <Override PartName="/xl/activeX/activeX220.bin" ContentType="application/vnd.ms-office.activeX"/>
  <Override PartName="/xl/activeX/activeX39.bin" ContentType="application/vnd.ms-office.activeX"/>
  <Override PartName="/xl/activeX/activeX86.bin" ContentType="application/vnd.ms-office.activeX"/>
  <Override PartName="/xl/activeX/activeX243.xml" ContentType="application/vnd.ms-office.activeX+xml"/>
  <Override PartName="/xl/activeX/activeX17.bin" ContentType="application/vnd.ms-office.activeX"/>
  <Override PartName="/xl/activeX/activeX64.bin" ContentType="application/vnd.ms-office.activeX"/>
  <Override PartName="/xl/activeX/activeX135.bin" ContentType="application/vnd.ms-office.activeX"/>
  <Override PartName="/xl/activeX/activeX182.bin" ContentType="application/vnd.ms-office.activeX"/>
  <Override PartName="/xl/activeX/activeX221.xml" ContentType="application/vnd.ms-office.activeX+xml"/>
  <Override PartName="/xl/activeX/activeX87.xml" ContentType="application/vnd.ms-office.activeX+xml"/>
  <Override PartName="/xl/activeX/activeX113.bin" ContentType="application/vnd.ms-office.activeX"/>
  <Override PartName="/xl/activeX/activeX158.xml" ContentType="application/vnd.ms-office.activeX+xml"/>
  <Override PartName="/xl/activeX/activeX160.bin" ContentType="application/vnd.ms-office.activeX"/>
  <Override PartName="/xl/activeX/activeX258.bin" ContentType="application/vnd.ms-office.activeX"/>
  <Override PartName="/xl/activeX/activeX42.bin" ContentType="application/vnd.ms-office.activeX"/>
  <Override PartName="/xl/activeX/activeX136.xml" ContentType="application/vnd.ms-office.activeX+xml"/>
  <Override PartName="/xl/activeX/activeX183.xml" ContentType="application/vnd.ms-office.activeX+xml"/>
  <Override PartName="/xl/activeX/activeX18.xml" ContentType="application/vnd.ms-office.activeX+xml"/>
  <Override PartName="/xl/activeX/activeX20.bin" ContentType="application/vnd.ms-office.activeX"/>
  <Override PartName="/xl/activeX/activeX65.xml" ContentType="application/vnd.ms-office.activeX+xml"/>
  <Override PartName="/xl/activeX/activeX236.bin" ContentType="application/vnd.ms-office.activeX"/>
  <Override PartName="/xl/activeX/activeX283.bin" ContentType="application/vnd.ms-office.activeX"/>
  <Override PartName="/xl/activeX/activeX43.xml" ContentType="application/vnd.ms-office.activeX+xml"/>
  <Override PartName="/xl/activeX/activeX90.xml" ContentType="application/vnd.ms-office.activeX+xml"/>
  <Override PartName="/xl/activeX/activeX114.xml" ContentType="application/vnd.ms-office.activeX+xml"/>
  <Override PartName="/xl/activeX/activeX161.xml" ContentType="application/vnd.ms-office.activeX+xml"/>
  <Override PartName="/xl/activeX/activeX214.bin" ContentType="application/vnd.ms-office.activeX"/>
  <Override PartName="/xl/activeX/activeX259.xml" ContentType="application/vnd.ms-office.activeX+xml"/>
  <Override PartName="/xl/activeX/activeX261.bin" ContentType="application/vnd.ms-office.activeX"/>
  <Override PartName="/xl/worksheets/sheet2.xml" ContentType="application/vnd.openxmlformats-officedocument.spreadsheetml.worksheet+xml"/>
  <Override PartName="/xl/drawings/drawing1.xml" ContentType="application/vnd.openxmlformats-officedocument.drawing+xml"/>
  <Override PartName="/xl/activeX/activeX198.bin" ContentType="application/vnd.ms-office.activeX"/>
  <Override PartName="/xl/activeX/activeX237.xml" ContentType="application/vnd.ms-office.activeX+xml"/>
  <Override PartName="/xl/activeX/activeX284.xml" ContentType="application/vnd.ms-office.activeX+xml"/>
  <Override PartName="/xl/activeX/activeX21.xml" ContentType="application/vnd.ms-office.activeX+xml"/>
  <Override PartName="/xl/activeX/activeX129.bin" ContentType="application/vnd.ms-office.activeX"/>
  <Override PartName="/xl/activeX/activeX176.bin" ContentType="application/vnd.ms-office.activeX"/>
  <Override PartName="/xl/activeX/activeX8.bin" ContentType="application/vnd.ms-office.activeX"/>
  <Override PartName="/xl/activeX/activeX58.bin" ContentType="application/vnd.ms-office.activeX"/>
  <Override PartName="/xl/activeX/activeX199.xml" ContentType="application/vnd.ms-office.activeX+xml"/>
  <Override PartName="/xl/activeX/activeX215.xml" ContentType="application/vnd.ms-office.activeX+xml"/>
  <Override PartName="/xl/activeX/activeX262.xml" ContentType="application/vnd.ms-office.activeX+xml"/>
  <Override PartName="/xl/activeX/activeX36.bin" ContentType="application/vnd.ms-office.activeX"/>
  <Override PartName="/xl/activeX/activeX83.bin" ContentType="application/vnd.ms-office.activeX"/>
  <Override PartName="/xl/activeX/activeX107.bin" ContentType="application/vnd.ms-office.activeX"/>
  <Override PartName="/xl/activeX/activeX154.bin" ContentType="application/vnd.ms-office.activeX"/>
  <Override PartName="/xl/activeX/activeX240.xml" ContentType="application/vnd.ms-office.activeX+xml"/>
  <Override PartName="/xl/activeX/activeX9.xml" ContentType="application/vnd.ms-office.activeX+xml"/>
  <Override PartName="/xl/activeX/activeX59.xml" ContentType="application/vnd.ms-office.activeX+xml"/>
  <Override PartName="/xl/activeX/activeX132.bin" ContentType="application/vnd.ms-office.activeX"/>
  <Override PartName="/xl/activeX/activeX177.xml" ContentType="application/vnd.ms-office.activeX+xml"/>
  <Override PartName="/xl/activeX/activeX277.bin" ContentType="application/vnd.ms-office.activeX"/>
  <Override PartName="/xl/activeX/activeX14.bin" ContentType="application/vnd.ms-office.activeX"/>
  <Override PartName="/xl/activeX/activeX61.bin" ContentType="application/vnd.ms-office.activeX"/>
  <Override PartName="/xl/activeX/activeX108.xml" ContentType="application/vnd.ms-office.activeX+xml"/>
  <Override PartName="/xl/activeX/activeX155.xml" ContentType="application/vnd.ms-office.activeX+xml"/>
  <Override PartName="/xl/activeX/activeX208.bin" ContentType="application/vnd.ms-office.activeX"/>
  <Override PartName="/xl/activeX/activeX37.xml" ContentType="application/vnd.ms-office.activeX+xml"/>
  <Override PartName="/xl/activeX/activeX84.xml" ContentType="application/vnd.ms-office.activeX+xml"/>
  <Override PartName="/xl/activeX/activeX110.bin" ContentType="application/vnd.ms-office.activeX"/>
  <Override PartName="/xl/activeX/activeX255.bin" ContentType="application/vnd.ms-office.activeX"/>
  <Override PartName="/xl/activeX/activeX278.xml" ContentType="application/vnd.ms-office.activeX+xml"/>
  <Override PartName="/xl/activeX/activeX15.xml" ContentType="application/vnd.ms-office.activeX+xml"/>
  <Override PartName="/xl/activeX/activeX62.xml" ContentType="application/vnd.ms-office.activeX+xml"/>
  <Override PartName="/xl/activeX/activeX133.xml" ContentType="application/vnd.ms-office.activeX+xml"/>
  <Override PartName="/xl/activeX/activeX180.xml" ContentType="application/vnd.ms-office.activeX+xml"/>
  <Override PartName="/xl/activeX/activeX233.bin" ContentType="application/vnd.ms-office.activeX"/>
  <Override PartName="/xl/activeX/activeX280.bin" ContentType="application/vnd.ms-office.activeX"/>
  <Override PartName="/xl/activeX/activeX99.bin" ContentType="application/vnd.ms-office.activeX"/>
  <Override PartName="/xl/activeX/activeX111.xml" ContentType="application/vnd.ms-office.activeX+xml"/>
  <Override PartName="/xl/activeX/activeX209.xml" ContentType="application/vnd.ms-office.activeX+xml"/>
  <Override PartName="/xl/activeX/activeX256.xml" ContentType="application/vnd.ms-office.activeX+xml"/>
  <Override PartName="/xl/activeX/activeX40.xml" ContentType="application/vnd.ms-office.activeX+xml"/>
  <Override PartName="/xl/activeX/activeX88.bin" ContentType="application/vnd.ms-office.activeX"/>
  <Override PartName="/xl/activeX/activeX100.xml" ContentType="application/vnd.ms-office.activeX+xml"/>
  <Override PartName="/xl/activeX/activeX148.bin" ContentType="application/vnd.ms-office.activeX"/>
  <Override PartName="/xl/activeX/activeX195.bin" ContentType="application/vnd.ms-office.activeX"/>
  <Override PartName="/xl/activeX/activeX200.bin" ContentType="application/vnd.ms-office.activeX"/>
  <Override PartName="/xl/activeX/activeX211.bin" ContentType="application/vnd.ms-office.activeX"/>
  <Override PartName="/xl/activeX/activeX245.xml" ContentType="application/vnd.ms-office.activeX+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77.bin" ContentType="application/vnd.ms-office.activeX"/>
  <Override PartName="/xl/activeX/activeX137.bin" ContentType="application/vnd.ms-office.activeX"/>
  <Override PartName="/xl/activeX/activeX184.bin" ContentType="application/vnd.ms-office.activeX"/>
  <Override PartName="/xl/activeX/activeX223.xml" ContentType="application/vnd.ms-office.activeX+xml"/>
  <Override PartName="/xl/activeX/activeX234.xml" ContentType="application/vnd.ms-office.activeX+xml"/>
  <Override PartName="/xl/activeX/activeX270.xml" ContentType="application/vnd.ms-office.activeX+xml"/>
  <Override PartName="/xl/activeX/activeX281.xml" ContentType="application/vnd.ms-office.activeX+xml"/>
  <Override PartName="/xl/activeX/activeX5.bin" ContentType="application/vnd.ms-office.activeX"/>
  <Override PartName="/xl/activeX/activeX55.bin" ContentType="application/vnd.ms-office.activeX"/>
  <Override PartName="/xl/activeX/activeX89.xml" ContentType="application/vnd.ms-office.activeX+xml"/>
  <Override PartName="/xl/activeX/activeX115.bin" ContentType="application/vnd.ms-office.activeX"/>
  <Override PartName="/xl/activeX/activeX126.bin" ContentType="application/vnd.ms-office.activeX"/>
  <Override PartName="/xl/activeX/activeX162.bin" ContentType="application/vnd.ms-office.activeX"/>
  <Override PartName="/xl/activeX/activeX173.bin" ContentType="application/vnd.ms-office.activeX"/>
  <Override PartName="/xl/activeX/activeX212.xml" ContentType="application/vnd.ms-office.activeX+xml"/>
  <Default Extension="bin" ContentType="application/vnd.openxmlformats-officedocument.spreadsheetml.printerSettings"/>
  <Override PartName="/xl/activeX/activeX44.bin" ContentType="application/vnd.ms-office.activeX"/>
  <Override PartName="/xl/activeX/activeX78.xml" ContentType="application/vnd.ms-office.activeX+xml"/>
  <Override PartName="/xl/activeX/activeX91.bin" ContentType="application/vnd.ms-office.activeX"/>
  <Override PartName="/xl/activeX/activeX104.bin" ContentType="application/vnd.ms-office.activeX"/>
  <Override PartName="/xl/activeX/activeX138.xml" ContentType="application/vnd.ms-office.activeX+xml"/>
  <Override PartName="/xl/activeX/activeX149.xml" ContentType="application/vnd.ms-office.activeX+xml"/>
  <Override PartName="/xl/activeX/activeX151.bin" ContentType="application/vnd.ms-office.activeX"/>
  <Override PartName="/xl/activeX/activeX185.xml" ContentType="application/vnd.ms-office.activeX+xml"/>
  <Override PartName="/xl/activeX/activeX196.xml" ContentType="application/vnd.ms-office.activeX+xml"/>
  <Override PartName="/xl/activeX/activeX201.xml" ContentType="application/vnd.ms-office.activeX+xml"/>
  <Override PartName="/xl/activeX/activeX249.bin" ContentType="application/vnd.ms-office.activeX"/>
  <Override PartName="/xl/activeX/activeX22.bin" ContentType="application/vnd.ms-office.activeX"/>
  <Override PartName="/xl/activeX/activeX33.bin" ContentType="application/vnd.ms-office.activeX"/>
  <Override PartName="/xl/activeX/activeX67.xml" ContentType="application/vnd.ms-office.activeX+xml"/>
  <Override PartName="/xl/activeX/activeX80.bin" ContentType="application/vnd.ms-office.activeX"/>
  <Override PartName="/xl/activeX/activeX127.xml" ContentType="application/vnd.ms-office.activeX+xml"/>
  <Override PartName="/xl/activeX/activeX140.bin" ContentType="application/vnd.ms-office.activeX"/>
  <Override PartName="/xl/activeX/activeX174.xml" ContentType="application/vnd.ms-office.activeX+xml"/>
  <Override PartName="/xl/activeX/activeX227.bin" ContentType="application/vnd.ms-office.activeX"/>
  <Override PartName="/xl/activeX/activeX238.bin" ContentType="application/vnd.ms-office.activeX"/>
  <Override PartName="/xl/activeX/activeX274.bin" ContentType="application/vnd.ms-office.activeX"/>
  <Override PartName="/xl/activeX/activeX285.bin" ContentType="application/vnd.ms-office.activeX"/>
  <Override PartName="/xl/activeX/activeX6.xml" ContentType="application/vnd.ms-office.activeX+xml"/>
  <Override PartName="/xl/activeX/activeX11.bin" ContentType="application/vnd.ms-office.activeX"/>
  <Override PartName="/xl/activeX/activeX45.xml" ContentType="application/vnd.ms-office.activeX+xml"/>
  <Override PartName="/xl/activeX/activeX56.xml" ContentType="application/vnd.ms-office.activeX+xml"/>
  <Override PartName="/xl/activeX/activeX92.xml" ContentType="application/vnd.ms-office.activeX+xml"/>
  <Override PartName="/xl/activeX/activeX116.xml" ContentType="application/vnd.ms-office.activeX+xml"/>
  <Override PartName="/xl/activeX/activeX163.xml" ContentType="application/vnd.ms-office.activeX+xml"/>
  <Override PartName="/xl/activeX/activeX216.bin" ContentType="application/vnd.ms-office.activeX"/>
  <Override PartName="/xl/activeX/activeX263.bin" ContentType="application/vnd.ms-office.activeX"/>
  <Override PartName="/xl/workbook.xml" ContentType="application/vnd.ms-excel.sheet.macroEnabled.main+xml"/>
  <Override PartName="/xl/worksheets/sheet4.xml" ContentType="application/vnd.openxmlformats-officedocument.spreadsheetml.worksheet+xml"/>
  <Override PartName="/xl/activeX/activeX34.xml" ContentType="application/vnd.ms-office.activeX+xml"/>
  <Override PartName="/xl/activeX/activeX81.xml" ContentType="application/vnd.ms-office.activeX+xml"/>
  <Override PartName="/xl/activeX/activeX105.xml" ContentType="application/vnd.ms-office.activeX+xml"/>
  <Override PartName="/xl/activeX/activeX152.xml" ContentType="application/vnd.ms-office.activeX+xml"/>
  <Override PartName="/xl/activeX/activeX205.bin" ContentType="application/vnd.ms-office.activeX"/>
  <Override PartName="/xl/activeX/activeX239.xml" ContentType="application/vnd.ms-office.activeX+xml"/>
  <Override PartName="/xl/activeX/activeX252.bin" ContentType="application/vnd.ms-office.activeX"/>
  <Override PartName="/xl/activeX/activeX286.xml" ContentType="application/vnd.ms-office.activeX+xml"/>
  <Override PartName="/xl/drawings/drawing3.xml" ContentType="application/vnd.openxmlformats-officedocument.drawing+xml"/>
  <Override PartName="/xl/activeX/activeX23.xml" ContentType="application/vnd.ms-office.activeX+xml"/>
  <Override PartName="/xl/activeX/activeX70.xml" ContentType="application/vnd.ms-office.activeX+xml"/>
  <Override PartName="/xl/activeX/activeX130.xml" ContentType="application/vnd.ms-office.activeX+xml"/>
  <Override PartName="/xl/activeX/activeX141.xml" ContentType="application/vnd.ms-office.activeX+xml"/>
  <Override PartName="/xl/activeX/activeX178.bin" ContentType="application/vnd.ms-office.activeX"/>
  <Override PartName="/xl/activeX/activeX189.bin" ContentType="application/vnd.ms-office.activeX"/>
  <Override PartName="/xl/activeX/activeX228.xml" ContentType="application/vnd.ms-office.activeX+xml"/>
  <Override PartName="/xl/activeX/activeX230.bin" ContentType="application/vnd.ms-office.activeX"/>
  <Override PartName="/xl/activeX/activeX241.bin" ContentType="application/vnd.ms-office.activeX"/>
  <Override PartName="/xl/activeX/activeX275.xml" ContentType="application/vnd.ms-office.activeX+xml"/>
  <Default Extension="vml" ContentType="application/vnd.openxmlformats-officedocument.vmlDrawing"/>
  <Override PartName="/xl/activeX/activeX12.xml" ContentType="application/vnd.ms-office.activeX+xml"/>
  <Override PartName="/xl/activeX/activeX167.bin" ContentType="application/vnd.ms-office.activeX"/>
  <Override PartName="/xl/activeX/activeX206.xml" ContentType="application/vnd.ms-office.activeX+xml"/>
  <Override PartName="/xl/activeX/activeX217.xml" ContentType="application/vnd.ms-office.activeX+xml"/>
  <Override PartName="/xl/activeX/activeX253.xml" ContentType="application/vnd.ms-office.activeX+xml"/>
  <Override PartName="/xl/activeX/activeX264.xml" ContentType="application/vnd.ms-office.activeX+xml"/>
  <Override PartName="/xl/comments1.xml" ContentType="application/vnd.openxmlformats-officedocument.spreadsheetml.comments+xml"/>
  <Override PartName="/xl/activeX/activeX38.bin" ContentType="application/vnd.ms-office.activeX"/>
  <Override PartName="/xl/activeX/activeX49.bin" ContentType="application/vnd.ms-office.activeX"/>
  <Override PartName="/xl/activeX/activeX85.bin" ContentType="application/vnd.ms-office.activeX"/>
  <Override PartName="/xl/activeX/activeX96.bin" ContentType="application/vnd.ms-office.activeX"/>
  <Override PartName="/xl/activeX/activeX109.bin" ContentType="application/vnd.ms-office.activeX"/>
  <Override PartName="/xl/activeX/activeX156.bin" ContentType="application/vnd.ms-office.activeX"/>
  <Override PartName="/xl/activeX/activeX242.xml" ContentType="application/vnd.ms-office.activeX+xml"/>
  <Override PartName="/xl/activeX/activeX27.bin" ContentType="application/vnd.ms-office.activeX"/>
  <Override PartName="/xl/activeX/activeX74.bin" ContentType="application/vnd.ms-office.activeX"/>
  <Override PartName="/xl/activeX/activeX134.bin" ContentType="application/vnd.ms-office.activeX"/>
  <Override PartName="/xl/activeX/activeX145.bin" ContentType="application/vnd.ms-office.activeX"/>
  <Override PartName="/xl/activeX/activeX179.xml" ContentType="application/vnd.ms-office.activeX+xml"/>
  <Override PartName="/xl/activeX/activeX181.bin" ContentType="application/vnd.ms-office.activeX"/>
  <Override PartName="/xl/activeX/activeX192.bin" ContentType="application/vnd.ms-office.activeX"/>
  <Override PartName="/xl/activeX/activeX231.xml" ContentType="application/vnd.ms-office.activeX+xml"/>
  <Override PartName="/xl/activeX/activeX279.bin" ContentType="application/vnd.ms-office.activeX"/>
  <Override PartName="/docProps/core.xml" ContentType="application/vnd.openxmlformats-package.core-properties+xml"/>
  <Override PartName="/xl/activeX/activeX2.bin" ContentType="application/vnd.ms-office.activeX"/>
  <Override PartName="/xl/activeX/activeX16.bin" ContentType="application/vnd.ms-office.activeX"/>
  <Override PartName="/xl/activeX/activeX63.bin" ContentType="application/vnd.ms-office.activeX"/>
  <Override PartName="/xl/activeX/activeX97.xml" ContentType="application/vnd.ms-office.activeX+xml"/>
  <Override PartName="/xl/activeX/activeX123.bin" ContentType="application/vnd.ms-office.activeX"/>
  <Override PartName="/xl/activeX/activeX157.xml" ContentType="application/vnd.ms-office.activeX+xml"/>
  <Override PartName="/xl/activeX/activeX168.xml" ContentType="application/vnd.ms-office.activeX+xml"/>
  <Override PartName="/xl/activeX/activeX170.bin" ContentType="application/vnd.ms-office.activeX"/>
  <Override PartName="/xl/activeX/activeX220.xml" ContentType="application/vnd.ms-office.activeX+xml"/>
  <Override PartName="/xl/activeX/activeX268.bin" ContentType="application/vnd.ms-office.activeX"/>
  <Override PartName="/xl/theme/theme1.xml" ContentType="application/vnd.openxmlformats-officedocument.theme+xml"/>
  <Override PartName="/xl/activeX/activeX39.xml" ContentType="application/vnd.ms-office.activeX+xml"/>
  <Override PartName="/xl/activeX/activeX41.bin" ContentType="application/vnd.ms-office.activeX"/>
  <Override PartName="/xl/activeX/activeX52.bin" ContentType="application/vnd.ms-office.activeX"/>
  <Override PartName="/xl/activeX/activeX86.xml" ContentType="application/vnd.ms-office.activeX+xml"/>
  <Override PartName="/xl/activeX/activeX112.bin" ContentType="application/vnd.ms-office.activeX"/>
  <Override PartName="/xl/activeX/activeX146.xml" ContentType="application/vnd.ms-office.activeX+xml"/>
  <Override PartName="/xl/activeX/activeX193.xml" ContentType="application/vnd.ms-office.activeX+xml"/>
  <Override PartName="/xl/activeX/activeX246.bin" ContentType="application/vnd.ms-office.activeX"/>
  <Override PartName="/xl/activeX/activeX257.bin" ContentType="application/vnd.ms-office.activeX"/>
  <Override PartName="/xl/activeX/activeX17.xml" ContentType="application/vnd.ms-office.activeX+xml"/>
  <Override PartName="/xl/activeX/activeX28.xml" ContentType="application/vnd.ms-office.activeX+xml"/>
  <Override PartName="/xl/activeX/activeX30.bin" ContentType="application/vnd.ms-office.activeX"/>
  <Override PartName="/xl/activeX/activeX64.xml" ContentType="application/vnd.ms-office.activeX+xml"/>
  <Override PartName="/xl/activeX/activeX75.xml" ContentType="application/vnd.ms-office.activeX+xml"/>
  <Override PartName="/xl/activeX/activeX101.bin" ContentType="application/vnd.ms-office.activeX"/>
  <Override PartName="/xl/activeX/activeX135.xml" ContentType="application/vnd.ms-office.activeX+xml"/>
  <Override PartName="/xl/activeX/activeX182.xml" ContentType="application/vnd.ms-office.activeX+xml"/>
  <Override PartName="/xl/activeX/activeX235.bin" ContentType="application/vnd.ms-office.activeX"/>
  <Override PartName="/xl/activeX/activeX269.xml" ContentType="application/vnd.ms-office.activeX+xml"/>
  <Override PartName="/xl/activeX/activeX282.bin" ContentType="application/vnd.ms-office.activeX"/>
  <Default Extension="rels" ContentType="application/vnd.openxmlformats-package.relationships+xml"/>
  <Override PartName="/xl/activeX/activeX3.xml" ContentType="application/vnd.ms-office.activeX+xml"/>
  <Override PartName="/xl/activeX/activeX53.xml" ContentType="application/vnd.ms-office.activeX+xml"/>
  <Override PartName="/xl/activeX/activeX113.xml" ContentType="application/vnd.ms-office.activeX+xml"/>
  <Override PartName="/xl/activeX/activeX124.xml" ContentType="application/vnd.ms-office.activeX+xml"/>
  <Override PartName="/xl/activeX/activeX160.xml" ContentType="application/vnd.ms-office.activeX+xml"/>
  <Override PartName="/xl/activeX/activeX171.xml" ContentType="application/vnd.ms-office.activeX+xml"/>
  <Override PartName="/xl/activeX/activeX224.bin" ContentType="application/vnd.ms-office.activeX"/>
  <Override PartName="/xl/activeX/activeX258.xml" ContentType="application/vnd.ms-office.activeX+xml"/>
  <Override PartName="/xl/activeX/activeX271.bin" ContentType="application/vnd.ms-office.activeX"/>
  <Override PartName="/xl/activeX/activeX42.xml" ContentType="application/vnd.ms-office.activeX+xml"/>
  <Override PartName="/xl/activeX/activeX102.xml" ContentType="application/vnd.ms-office.activeX+xml"/>
  <Override PartName="/xl/activeX/activeX197.bin" ContentType="application/vnd.ms-office.activeX"/>
  <Override PartName="/xl/activeX/activeX202.bin" ContentType="application/vnd.ms-office.activeX"/>
  <Override PartName="/xl/activeX/activeX213.bin" ContentType="application/vnd.ms-office.activeX"/>
  <Override PartName="/xl/activeX/activeX247.xml" ContentType="application/vnd.ms-office.activeX+xml"/>
  <Override PartName="/xl/activeX/activeX260.bin" ContentType="application/vnd.ms-office.activeX"/>
  <Override PartName="/xl/worksheets/sheet1.xml" ContentType="application/vnd.openxmlformats-officedocument.spreadsheetml.worksheet+xml"/>
  <Override PartName="/xl/activeX/activeX20.xml" ContentType="application/vnd.ms-office.activeX+xml"/>
  <Override PartName="/xl/activeX/activeX31.xml" ContentType="application/vnd.ms-office.activeX+xml"/>
  <Override PartName="/xl/activeX/activeX68.bin" ContentType="application/vnd.ms-office.activeX"/>
  <Override PartName="/xl/activeX/activeX79.bin" ContentType="application/vnd.ms-office.activeX"/>
  <Override PartName="/xl/activeX/activeX139.bin" ContentType="application/vnd.ms-office.activeX"/>
  <Override PartName="/xl/activeX/activeX186.bin" ContentType="application/vnd.ms-office.activeX"/>
  <Override PartName="/xl/activeX/activeX225.xml" ContentType="application/vnd.ms-office.activeX+xml"/>
  <Override PartName="/xl/activeX/activeX236.xml" ContentType="application/vnd.ms-office.activeX+xml"/>
  <Override PartName="/xl/activeX/activeX272.xml" ContentType="application/vnd.ms-office.activeX+xml"/>
  <Override PartName="/xl/activeX/activeX283.xml" ContentType="application/vnd.ms-office.activeX+xml"/>
  <Override PartName="/xl/activeX/activeX7.bin" ContentType="application/vnd.ms-office.activeX"/>
  <Override PartName="/xl/activeX/activeX57.bin" ContentType="application/vnd.ms-office.activeX"/>
  <Override PartName="/xl/activeX/activeX128.bin" ContentType="application/vnd.ms-office.activeX"/>
  <Override PartName="/xl/activeX/activeX175.bin" ContentType="application/vnd.ms-office.activeX"/>
  <Override PartName="/xl/activeX/activeX214.xml" ContentType="application/vnd.ms-office.activeX+xml"/>
  <Override PartName="/xl/activeX/activeX261.xml" ContentType="application/vnd.ms-office.activeX+xml"/>
  <Override PartName="/xl/activeX/activeX46.bin" ContentType="application/vnd.ms-office.activeX"/>
  <Override PartName="/xl/activeX/activeX93.bin" ContentType="application/vnd.ms-office.activeX"/>
  <Override PartName="/xl/activeX/activeX106.bin" ContentType="application/vnd.ms-office.activeX"/>
  <Override PartName="/xl/activeX/activeX117.bin" ContentType="application/vnd.ms-office.activeX"/>
  <Override PartName="/xl/activeX/activeX153.bin" ContentType="application/vnd.ms-office.activeX"/>
  <Override PartName="/xl/activeX/activeX164.bin" ContentType="application/vnd.ms-office.activeX"/>
  <Override PartName="/xl/activeX/activeX198.xml" ContentType="application/vnd.ms-office.activeX+xml"/>
  <Override PartName="/xl/activeX/activeX203.xml" ContentType="application/vnd.ms-office.activeX+xml"/>
  <Override PartName="/xl/activeX/activeX250.xml" ContentType="application/vnd.ms-office.activeX+xml"/>
  <Override PartName="/xl/activeX/activeX35.bin" ContentType="application/vnd.ms-office.activeX"/>
  <Override PartName="/xl/activeX/activeX69.xml" ContentType="application/vnd.ms-office.activeX+xml"/>
  <Override PartName="/xl/activeX/activeX82.bin" ContentType="application/vnd.ms-office.activeX"/>
  <Override PartName="/xl/activeX/activeX129.xml" ContentType="application/vnd.ms-office.activeX+xml"/>
  <Override PartName="/xl/activeX/activeX142.bin" ContentType="application/vnd.ms-office.activeX"/>
  <Override PartName="/xl/activeX/activeX176.xml" ContentType="application/vnd.ms-office.activeX+xml"/>
  <Override PartName="/xl/activeX/activeX187.xml" ContentType="application/vnd.ms-office.activeX+xml"/>
  <Override PartName="/xl/activeX/activeX229.bin" ContentType="application/vnd.ms-office.activeX"/>
  <Override PartName="/xl/activeX/activeX276.bin" ContentType="application/vnd.ms-office.activeX"/>
  <Override PartName="/xl/activeX/activeX287.bin" ContentType="application/vnd.ms-office.activeX"/>
  <Override PartName="/xl/activeX/activeX8.xml" ContentType="application/vnd.ms-office.activeX+xml"/>
  <Override PartName="/xl/activeX/activeX13.bin" ContentType="application/vnd.ms-office.activeX"/>
  <Override PartName="/xl/activeX/activeX24.bin" ContentType="application/vnd.ms-office.activeX"/>
  <Override PartName="/xl/activeX/activeX47.xml" ContentType="application/vnd.ms-office.activeX+xml"/>
  <Override PartName="/xl/activeX/activeX58.xml" ContentType="application/vnd.ms-office.activeX+xml"/>
  <Override PartName="/xl/activeX/activeX60.bin" ContentType="application/vnd.ms-office.activeX"/>
  <Override PartName="/xl/activeX/activeX71.bin" ContentType="application/vnd.ms-office.activeX"/>
  <Override PartName="/xl/activeX/activeX118.xml" ContentType="application/vnd.ms-office.activeX+xml"/>
  <Override PartName="/xl/activeX/activeX131.bin" ContentType="application/vnd.ms-office.activeX"/>
  <Override PartName="/xl/activeX/activeX165.xml" ContentType="application/vnd.ms-office.activeX+xml"/>
  <Override PartName="/xl/activeX/activeX218.bin" ContentType="application/vnd.ms-office.activeX"/>
  <Override PartName="/xl/activeX/activeX265.bin" ContentType="application/vnd.ms-office.activeX"/>
  <Override PartName="/xl/worksheets/sheet6.xml" ContentType="application/vnd.openxmlformats-officedocument.spreadsheetml.worksheet+xml"/>
  <Override PartName="/xl/activeX/activeX36.xml" ContentType="application/vnd.ms-office.activeX+xml"/>
  <Override PartName="/xl/activeX/activeX83.xml" ContentType="application/vnd.ms-office.activeX+xml"/>
  <Override PartName="/xl/activeX/activeX94.xml" ContentType="application/vnd.ms-office.activeX+xml"/>
  <Override PartName="/xl/activeX/activeX107.xml" ContentType="application/vnd.ms-office.activeX+xml"/>
  <Override PartName="/xl/activeX/activeX120.bin" ContentType="application/vnd.ms-office.activeX"/>
  <Override PartName="/xl/activeX/activeX154.xml" ContentType="application/vnd.ms-office.activeX+xml"/>
  <Override PartName="/xl/activeX/activeX207.bin" ContentType="application/vnd.ms-office.activeX"/>
  <Override PartName="/xl/activeX/activeX254.bin" ContentType="application/vnd.ms-office.activeX"/>
  <Override PartName="/xl/activeX/activeX288.xml" ContentType="application/vnd.ms-office.activeX+xml"/>
  <Override PartName="/xl/activeX/activeX25.xml" ContentType="application/vnd.ms-office.activeX+xml"/>
  <Override PartName="/xl/activeX/activeX72.xml" ContentType="application/vnd.ms-office.activeX+xml"/>
  <Override PartName="/xl/activeX/activeX132.xml" ContentType="application/vnd.ms-office.activeX+xml"/>
  <Override PartName="/xl/activeX/activeX143.xml" ContentType="application/vnd.ms-office.activeX+xml"/>
  <Override PartName="/xl/activeX/activeX190.xml" ContentType="application/vnd.ms-office.activeX+xml"/>
  <Override PartName="/xl/activeX/activeX243.bin" ContentType="application/vnd.ms-office.activeX"/>
  <Override PartName="/xl/activeX/activeX277.xml" ContentType="application/vnd.ms-office.activeX+xml"/>
  <Override PartName="/xl/activeX/activeX14.xml" ContentType="application/vnd.ms-office.activeX+xml"/>
  <Override PartName="/xl/activeX/activeX61.xml" ContentType="application/vnd.ms-office.activeX+xml"/>
  <Override PartName="/xl/activeX/activeX121.xml" ContentType="application/vnd.ms-office.activeX+xml"/>
  <Override PartName="/xl/activeX/activeX169.bin" ContentType="application/vnd.ms-office.activeX"/>
  <Override PartName="/xl/activeX/activeX208.xml" ContentType="application/vnd.ms-office.activeX+xml"/>
  <Override PartName="/xl/activeX/activeX219.xml" ContentType="application/vnd.ms-office.activeX+xml"/>
  <Override PartName="/xl/activeX/activeX221.bin" ContentType="application/vnd.ms-office.activeX"/>
  <Override PartName="/xl/activeX/activeX232.bin" ContentType="application/vnd.ms-office.activeX"/>
  <Override PartName="/xl/activeX/activeX255.xml" ContentType="application/vnd.ms-office.activeX+xml"/>
  <Override PartName="/xl/activeX/activeX266.xml" ContentType="application/vnd.ms-office.activeX+xml"/>
  <Override PartName="/xl/activeX/activeX50.xml" ContentType="application/vnd.ms-office.activeX+xml"/>
  <Override PartName="/xl/activeX/activeX87.bin" ContentType="application/vnd.ms-office.activeX"/>
  <Override PartName="/xl/activeX/activeX98.bin" ContentType="application/vnd.ms-office.activeX"/>
  <Override PartName="/xl/activeX/activeX110.xml" ContentType="application/vnd.ms-office.activeX+xml"/>
  <Override PartName="/xl/activeX/activeX158.bin" ContentType="application/vnd.ms-office.activeX"/>
  <Override PartName="/xl/activeX/activeX210.bin" ContentType="application/vnd.ms-office.activeX"/>
  <Override PartName="/xl/activeX/activeX244.xml" ContentType="application/vnd.ms-office.activeX+xml"/>
  <Override PartName="/xl/activeX/activeX29.bin" ContentType="application/vnd.ms-office.activeX"/>
  <Override PartName="/xl/activeX/activeX76.bin" ContentType="application/vnd.ms-office.activeX"/>
  <Override PartName="/xl/activeX/activeX136.bin" ContentType="application/vnd.ms-office.activeX"/>
  <Override PartName="/xl/activeX/activeX147.bin" ContentType="application/vnd.ms-office.activeX"/>
  <Override PartName="/xl/activeX/activeX183.bin" ContentType="application/vnd.ms-office.activeX"/>
  <Override PartName="/xl/activeX/activeX194.bin" ContentType="application/vnd.ms-office.activeX"/>
  <Override PartName="/xl/activeX/activeX233.xml" ContentType="application/vnd.ms-office.activeX+xml"/>
  <Override PartName="/xl/activeX/activeX280.xml" ContentType="application/vnd.ms-office.activeX+xml"/>
  <Override PartName="/xl/activeX/activeX18.bin" ContentType="application/vnd.ms-office.activeX"/>
  <Override PartName="/xl/activeX/activeX65.bin" ContentType="application/vnd.ms-office.activeX"/>
  <Override PartName="/xl/activeX/activeX99.xml" ContentType="application/vnd.ms-office.activeX+xml"/>
  <Override PartName="/xl/activeX/activeX125.bin" ContentType="application/vnd.ms-office.activeX"/>
  <Override PartName="/xl/activeX/activeX159.xml" ContentType="application/vnd.ms-office.activeX+xml"/>
  <Override PartName="/xl/activeX/activeX172.bin" ContentType="application/vnd.ms-office.activeX"/>
  <Override PartName="/xl/activeX/activeX222.xml" ContentType="application/vnd.ms-office.activeX+xml"/>
  <Override PartName="/xl/activeX/activeX43.bin" ContentType="application/vnd.ms-office.activeX"/>
  <Override PartName="/xl/activeX/activeX88.xml" ContentType="application/vnd.ms-office.activeX+xml"/>
  <Override PartName="/xl/activeX/activeX90.bin" ContentType="application/vnd.ms-office.activeX"/>
  <Override PartName="/xl/activeX/activeX114.bin" ContentType="application/vnd.ms-office.activeX"/>
  <Override PartName="/xl/activeX/activeX161.bin" ContentType="application/vnd.ms-office.activeX"/>
  <Override PartName="/xl/activeX/activeX200.xml" ContentType="application/vnd.ms-office.activeX+xml"/>
  <Override PartName="/xl/activeX/activeX259.bin" ContentType="application/vnd.ms-office.activeX"/>
  <Override PartName="/xl/activeX/activeX19.xml" ContentType="application/vnd.ms-office.activeX+xml"/>
  <Override PartName="/xl/activeX/activeX66.xml" ContentType="application/vnd.ms-office.activeX+xml"/>
  <Override PartName="/xl/activeX/activeX137.xml" ContentType="application/vnd.ms-office.activeX+xml"/>
  <Override PartName="/xl/activeX/activeX184.xml" ContentType="application/vnd.ms-office.activeX+xml"/>
  <Override PartName="/xl/activeX/activeX237.bin" ContentType="application/vnd.ms-office.activeX"/>
  <Override PartName="/xl/activeX/activeX284.bin" ContentType="application/vnd.ms-office.activeX"/>
  <Override PartName="/xl/activeX/activeX21.bin" ContentType="application/vnd.ms-office.activeX"/>
  <Override PartName="/xl/activeX/activeX115.xml" ContentType="application/vnd.ms-office.activeX+xml"/>
  <Override PartName="/xl/activeX/activeX162.xml" ContentType="application/vnd.ms-office.activeX+xml"/>
  <Override PartName="/xl/activeX/activeX44.xml" ContentType="application/vnd.ms-office.activeX+xml"/>
  <Override PartName="/xl/activeX/activeX91.xml" ContentType="application/vnd.ms-office.activeX+xml"/>
  <Override PartName="/xl/drawings/drawing2.xml" ContentType="application/vnd.openxmlformats-officedocument.drawing+xml"/>
  <Override PartName="/xl/activeX/activeX199.bin" ContentType="application/vnd.ms-office.activeX"/>
  <Override PartName="/xl/activeX/activeX215.bin" ContentType="application/vnd.ms-office.activeX"/>
  <Override PartName="/xl/activeX/activeX262.bin" ContentType="application/vnd.ms-office.activeX"/>
  <Override PartName="/xl/worksheets/sheet3.xml" ContentType="application/vnd.openxmlformats-officedocument.spreadsheetml.worksheet+xml"/>
  <Override PartName="/xl/activeX/activeX22.xml" ContentType="application/vnd.ms-office.activeX+xml"/>
  <Override PartName="/xl/activeX/activeX140.xml" ContentType="application/vnd.ms-office.activeX+xml"/>
  <Override PartName="/xl/activeX/activeX238.xml" ContentType="application/vnd.ms-office.activeX+xml"/>
  <Override PartName="/xl/activeX/activeX240.bin" ContentType="application/vnd.ms-office.activeX"/>
  <Override PartName="/xl/activeX/activeX285.xml" ContentType="application/vnd.ms-office.activeX+xml"/>
  <Override PartName="/xl/activeX/activeX9.bin" ContentType="application/vnd.ms-office.activeX"/>
  <Override PartName="/xl/activeX/activeX59.bin" ContentType="application/vnd.ms-office.activeX"/>
  <Override PartName="/xl/activeX/activeX177.bin" ContentType="application/vnd.ms-office.activeX"/>
  <Override PartName="/xl/activeX/activeX216.xml" ContentType="application/vnd.ms-office.activeX+xml"/>
  <Override PartName="/xl/activeX/activeX263.xml" ContentType="application/vnd.ms-office.activeX+xml"/>
  <Override PartName="/xl/activeX/activeX108.bin" ContentType="application/vnd.ms-office.activeX"/>
  <Override PartName="/xl/activeX/activeX155.bin" ContentType="application/vnd.ms-office.activeX"/>
  <Override PartName="/xl/activeX/activeX37.bin" ContentType="application/vnd.ms-office.activeX"/>
  <Override PartName="/xl/activeX/activeX84.bin" ContentType="application/vnd.ms-office.activeX"/>
  <Override PartName="/xl/activeX/activeX178.xml" ContentType="application/vnd.ms-office.activeX+xml"/>
  <Override PartName="/xl/activeX/activeX241.xml" ContentType="application/vnd.ms-office.activeX+xml"/>
  <Override PartName="/xl/activeX/activeX278.bin" ContentType="application/vnd.ms-office.activeX"/>
  <Override PartName="/xl/activeX/activeX15.bin" ContentType="application/vnd.ms-office.activeX"/>
  <Override PartName="/xl/activeX/activeX62.bin" ContentType="application/vnd.ms-office.activeX"/>
  <Override PartName="/xl/activeX/activeX133.bin" ContentType="application/vnd.ms-office.activeX"/>
  <Override PartName="/xl/activeX/activeX180.bin" ContentType="application/vnd.ms-office.activeX"/>
  <Override PartName="/xl/activeX/activeX38.xml" ContentType="application/vnd.ms-office.activeX+xml"/>
  <Override PartName="/xl/activeX/activeX85.xml" ContentType="application/vnd.ms-office.activeX+xml"/>
  <Override PartName="/xl/activeX/activeX109.xml" ContentType="application/vnd.ms-office.activeX+xml"/>
  <Override PartName="/xl/activeX/activeX111.bin" ContentType="application/vnd.ms-office.activeX"/>
  <Override PartName="/xl/activeX/activeX156.xml" ContentType="application/vnd.ms-office.activeX+xml"/>
  <Override PartName="/xl/activeX/activeX209.bin" ContentType="application/vnd.ms-office.activeX"/>
  <Override PartName="/xl/activeX/activeX256.bin" ContentType="application/vnd.ms-office.activeX"/>
  <Override PartName="/xl/activeX/activeX40.bin" ContentType="application/vnd.ms-office.activeX"/>
  <Override PartName="/xl/activeX/activeX134.xml" ContentType="application/vnd.ms-office.activeX+xml"/>
  <Override PartName="/xl/activeX/activeX181.xml" ContentType="application/vnd.ms-office.activeX+xml"/>
  <Override PartName="/xl/activeX/activeX279.xml" ContentType="application/vnd.ms-office.activeX+xml"/>
  <Override PartName="/xl/activeX/activeX16.xml" ContentType="application/vnd.ms-office.activeX+xml"/>
  <Override PartName="/xl/activeX/activeX63.xml" ContentType="application/vnd.ms-office.activeX+xml"/>
  <Override PartName="/xl/activeX/activeX234.bin" ContentType="application/vnd.ms-office.activeX"/>
  <Override PartName="/xl/activeX/activeX281.bin" ContentType="application/vnd.ms-office.activeX"/>
  <Override PartName="/docProps/app.xml" ContentType="application/vnd.openxmlformats-officedocument.extended-properties+xml"/>
  <Override PartName="/xl/activeX/activeX41.xml" ContentType="application/vnd.ms-office.activeX+xml"/>
  <Override PartName="/xl/activeX/activeX112.xml" ContentType="application/vnd.ms-office.activeX+xml"/>
  <Override PartName="/xl/activeX/activeX212.bin" ContentType="application/vnd.ms-office.activeX"/>
  <Override PartName="/xl/activeX/activeX257.xml" ContentType="application/vnd.ms-office.activeX+xml"/>
  <Override PartName="/xl/activeX/activeX78.bin" ContentType="application/vnd.ms-office.activeX"/>
  <Override PartName="/xl/activeX/activeX149.bin" ContentType="application/vnd.ms-office.activeX"/>
  <Override PartName="/xl/activeX/activeX196.bin" ContentType="application/vnd.ms-office.activeX"/>
  <Override PartName="/xl/activeX/activeX235.xml" ContentType="application/vnd.ms-office.activeX+xml"/>
  <Override PartName="/xl/activeX/activeX282.xml" ContentType="application/vnd.ms-office.activeX+xml"/>
  <Override PartName="/xl/activeX/activeX127.bin" ContentType="application/vnd.ms-office.activeX"/>
  <Override PartName="/xl/activeX/activeX174.bin" ContentType="application/vnd.ms-office.activeX"/>
  <Override PartName="/xl/activeX/activeX6.bin" ContentType="application/vnd.ms-office.activeX"/>
  <Override PartName="/xl/activeX/activeX56.bin" ContentType="application/vnd.ms-office.activeX"/>
  <Override PartName="/xl/activeX/activeX197.xml" ContentType="application/vnd.ms-office.activeX+xml"/>
  <Override PartName="/xl/activeX/activeX213.xml" ContentType="application/vnd.ms-office.activeX+xml"/>
  <Override PartName="/xl/activeX/activeX260.xml" ContentType="application/vnd.ms-office.activeX+xml"/>
  <Override PartName="/xl/activeX/activeX34.bin" ContentType="application/vnd.ms-office.activeX"/>
  <Override PartName="/xl/activeX/activeX79.xml" ContentType="application/vnd.ms-office.activeX+xml"/>
  <Override PartName="/xl/activeX/activeX81.bin" ContentType="application/vnd.ms-office.activeX"/>
  <Override PartName="/xl/activeX/activeX105.bin" ContentType="application/vnd.ms-office.activeX"/>
  <Override PartName="/xl/activeX/activeX152.bin" ContentType="application/vnd.ms-office.activeX"/>
  <Override PartName="/xl/activeX/activeX7.xml" ContentType="application/vnd.ms-office.activeX+xml"/>
  <Override PartName="/xl/activeX/activeX57.xml" ContentType="application/vnd.ms-office.activeX+xml"/>
  <Override PartName="/xl/activeX/activeX128.xml" ContentType="application/vnd.ms-office.activeX+xml"/>
  <Override PartName="/xl/activeX/activeX130.bin" ContentType="application/vnd.ms-office.activeX"/>
  <Override PartName="/xl/activeX/activeX175.xml" ContentType="application/vnd.ms-office.activeX+xml"/>
  <Override PartName="/xl/activeX/activeX228.bin" ContentType="application/vnd.ms-office.activeX"/>
  <Override PartName="/xl/activeX/activeX275.bin" ContentType="application/vnd.ms-office.activeX"/>
  <Override PartName="/xl/activeX/activeX12.bin" ContentType="application/vnd.ms-office.activeX"/>
  <Override PartName="/xl/activeX/activeX106.xml" ContentType="application/vnd.ms-office.activeX+xml"/>
  <Override PartName="/xl/activeX/activeX153.xml" ContentType="application/vnd.ms-office.activeX+xml"/>
  <Override PartName="/xl/activeX/activeX206.bin" ContentType="application/vnd.ms-office.activeX"/>
  <Override PartName="/xl/activeX/activeX253.bin" ContentType="application/vnd.ms-office.activeX"/>
  <Override PartName="/xl/activeX/activeX35.xml" ContentType="application/vnd.ms-office.activeX+xml"/>
  <Override PartName="/xl/activeX/activeX82.xml" ContentType="application/vnd.ms-office.activeX+xml"/>
  <Override PartName="/xl/activeX/activeX229.xml" ContentType="application/vnd.ms-office.activeX+xml"/>
  <Override PartName="/xl/activeX/activeX276.xml" ContentType="application/vnd.ms-office.activeX+xml"/>
  <Override PartName="/xl/activeX/activeX13.xml" ContentType="application/vnd.ms-office.activeX+xml"/>
  <Override PartName="/xl/activeX/activeX60.xml" ContentType="application/vnd.ms-office.activeX+xml"/>
  <Override PartName="/xl/activeX/activeX131.xml" ContentType="application/vnd.ms-office.activeX+xml"/>
  <Override PartName="/xl/activeX/activeX231.bin" ContentType="application/vnd.ms-office.activeX"/>
  <Override PartName="/xl/activeX/activeX97.bin" ContentType="application/vnd.ms-office.activeX"/>
  <Override PartName="/xl/activeX/activeX168.bin" ContentType="application/vnd.ms-office.activeX"/>
  <Override PartName="/xl/activeX/activeX207.xml" ContentType="application/vnd.ms-office.activeX+xml"/>
  <Override PartName="/xl/activeX/activeX254.xml" ContentType="application/vnd.ms-office.activeX+xml"/>
  <Override PartName="/xl/activeX/activeX146.bin" ContentType="application/vnd.ms-office.activeX"/>
  <Override PartName="/xl/activeX/activeX193.bin" ContentType="application/vnd.ms-office.activeX"/>
  <Override PartName="/xl/activeX/activeX232.xml" ContentType="application/vnd.ms-office.activeX+xml"/>
  <Override PartName="/xl/activeX/activeX28.bin" ContentType="application/vnd.ms-office.activeX"/>
  <Override PartName="/xl/activeX/activeX75.bin" ContentType="application/vnd.ms-office.activeX"/>
  <Override PartName="/xl/activeX/activeX169.xml" ContentType="application/vnd.ms-office.activeX+xml"/>
  <Override PartName="/xl/activeX/activeX269.bin" ContentType="application/vnd.ms-office.activeX"/>
  <Override PartName="/xl/activeX/activeX3.bin" ContentType="application/vnd.ms-office.activeX"/>
  <Override PartName="/xl/activeX/activeX53.bin" ContentType="application/vnd.ms-office.activeX"/>
  <Override PartName="/xl/activeX/activeX98.xml" ContentType="application/vnd.ms-office.activeX+xml"/>
  <Override PartName="/xl/activeX/activeX124.bin" ContentType="application/vnd.ms-office.activeX"/>
  <Override PartName="/xl/activeX/activeX171.bin" ContentType="application/vnd.ms-office.activeX"/>
  <Override PartName="/xl/activeX/activeX210.xml" ContentType="application/vnd.ms-office.activeX+xml"/>
  <Override PartName="/xl/activeX/activeX29.xml" ContentType="application/vnd.ms-office.activeX+xml"/>
  <Override PartName="/xl/activeX/activeX76.xml" ContentType="application/vnd.ms-office.activeX+xml"/>
  <Override PartName="/xl/activeX/activeX102.bin" ContentType="application/vnd.ms-office.activeX"/>
  <Override PartName="/xl/activeX/activeX147.xml" ContentType="application/vnd.ms-office.activeX+xml"/>
  <Override PartName="/xl/activeX/activeX194.xml" ContentType="application/vnd.ms-office.activeX+xml"/>
  <Override PartName="/xl/activeX/activeX247.bin" ContentType="application/vnd.ms-office.activeX"/>
  <Override PartName="/xl/activeX/activeX31.bin" ContentType="application/vnd.ms-office.activeX"/>
  <Override PartName="/xl/activeX/activeX125.xml" ContentType="application/vnd.ms-office.activeX+xml"/>
  <Override PartName="/xl/activeX/activeX172.xml" ContentType="application/vnd.ms-office.activeX+xml"/>
  <Override PartName="/xl/activeX/activeX225.bin" ContentType="application/vnd.ms-office.activeX"/>
  <Override PartName="/xl/activeX/activeX272.bin" ContentType="application/vnd.ms-office.activeX"/>
  <Override PartName="/xl/activeX/activeX4.xml" ContentType="application/vnd.ms-office.activeX+xml"/>
  <Override PartName="/xl/activeX/activeX54.xml" ContentType="application/vnd.ms-office.activeX+xml"/>
  <Override PartName="/xl/activeX/activeX248.xml" ContentType="application/vnd.ms-office.activeX+xml"/>
  <Override PartName="/xl/activeX/activeX32.xml" ContentType="application/vnd.ms-office.activeX+xml"/>
  <Override PartName="/xl/activeX/activeX103.xml" ContentType="application/vnd.ms-office.activeX+xml"/>
  <Override PartName="/xl/activeX/activeX150.xml" ContentType="application/vnd.ms-office.activeX+xml"/>
  <Override PartName="/xl/activeX/activeX203.bin" ContentType="application/vnd.ms-office.activeX"/>
  <Override PartName="/xl/activeX/activeX250.bin" ContentType="application/vnd.ms-office.activeX"/>
  <Override PartName="/xl/activeX/activeX69.bin" ContentType="application/vnd.ms-office.activeX"/>
  <Override PartName="/xl/activeX/activeX187.bin" ContentType="application/vnd.ms-office.activeX"/>
  <Override PartName="/xl/activeX/activeX226.xml" ContentType="application/vnd.ms-office.activeX+xml"/>
  <Override PartName="/xl/activeX/activeX273.xml" ContentType="application/vnd.ms-office.activeX+xml"/>
  <Override PartName="/xl/activeX/activeX10.xml" ContentType="application/vnd.ms-office.activeX+xml"/>
  <Override PartName="/xl/activeX/activeX118.bin" ContentType="application/vnd.ms-office.activeX"/>
  <Override PartName="/xl/activeX/activeX165.bin" ContentType="application/vnd.ms-office.activeX"/>
  <Override PartName="/xl/activeX/activeX204.xml" ContentType="application/vnd.ms-office.activeX+xml"/>
  <Override PartName="/xl/activeX/activeX251.xml" ContentType="application/vnd.ms-office.activeX+xml"/>
  <Override PartName="/xl/activeX/activeX47.bin" ContentType="application/vnd.ms-office.activeX"/>
  <Override PartName="/xl/activeX/activeX94.bin" ContentType="application/vnd.ms-office.activeX"/>
  <Override PartName="/xl/activeX/activeX188.xml" ContentType="application/vnd.ms-office.activeX+xml"/>
  <Override PartName="/xl/activeX/activeX288.bin" ContentType="application/vnd.ms-office.activeX"/>
  <Override PartName="/xl/activeX/activeX25.bin" ContentType="application/vnd.ms-office.activeX"/>
  <Override PartName="/xl/activeX/activeX72.bin" ContentType="application/vnd.ms-office.activeX"/>
  <Override PartName="/xl/activeX/activeX143.bin" ContentType="application/vnd.ms-office.activeX"/>
  <Override PartName="/xl/activeX/activeX190.bin" ContentType="application/vnd.ms-office.activeX"/>
  <Override PartName="/xl/activeX/activeX48.xml" ContentType="application/vnd.ms-office.activeX+xml"/>
  <Override PartName="/xl/activeX/activeX95.xml" ContentType="application/vnd.ms-office.activeX+xml"/>
  <Override PartName="/xl/activeX/activeX119.xml" ContentType="application/vnd.ms-office.activeX+xml"/>
  <Override PartName="/xl/activeX/activeX121.bin" ContentType="application/vnd.ms-office.activeX"/>
  <Override PartName="/xl/activeX/activeX166.xml" ContentType="application/vnd.ms-office.activeX+xml"/>
  <Override PartName="/xl/activeX/activeX219.bin" ContentType="application/vnd.ms-office.activeX"/>
  <Override PartName="/xl/activeX/activeX266.bin" ContentType="application/vnd.ms-office.activeX"/>
  <Override PartName="/xl/worksheets/sheet7.xml" ContentType="application/vnd.openxmlformats-officedocument.spreadsheetml.worksheet+xml"/>
  <Override PartName="/xl/activeX/activeX50.bin" ContentType="application/vnd.ms-office.activeX"/>
  <Override PartName="/xl/activeX/activeX144.xml" ContentType="application/vnd.ms-office.activeX+xml"/>
  <Override PartName="/xl/activeX/activeX191.xml" ContentType="application/vnd.ms-office.activeX+xml"/>
  <Override PartName="/xl/activeX/activeX244.bin" ContentType="application/vnd.ms-office.activeX"/>
  <Override PartName="/xl/vbaProject.bin" ContentType="application/vnd.ms-office.vbaProject"/>
  <Override PartName="/xl/activeX/activeX26.xml" ContentType="application/vnd.ms-office.activeX+xml"/>
  <Override PartName="/xl/activeX/activeX73.xml" ContentType="application/vnd.ms-office.activeX+xml"/>
  <Override PartName="/xl/activeX/activeX267.xml" ContentType="application/vnd.ms-office.activeX+xml"/>
  <Override PartName="/xl/activeX/activeX1.xml" ContentType="application/vnd.ms-office.activeX+xml"/>
  <Override PartName="/xl/activeX/activeX51.xml" ContentType="application/vnd.ms-office.activeX+xml"/>
  <Override PartName="/xl/activeX/activeX122.xml" ContentType="application/vnd.ms-office.activeX+xml"/>
  <Override PartName="/xl/activeX/activeX159.bin" ContentType="application/vnd.ms-office.activeX"/>
  <Override PartName="/xl/activeX/activeX222.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140" yWindow="-180" windowWidth="9720" windowHeight="6765" tabRatio="866" activeTab="3"/>
  </bookViews>
  <sheets>
    <sheet name="勤務報告書(上)" sheetId="1" r:id="rId1"/>
    <sheet name="時間外作業報告書(上)" sheetId="9" r:id="rId2"/>
    <sheet name="勤務報告書(下)" sheetId="8" r:id="rId3"/>
    <sheet name="時間外作業報告書(下)" sheetId="11" r:id="rId4"/>
    <sheet name="パラメタ" sheetId="5" r:id="rId5"/>
    <sheet name="記入方法" sheetId="4" r:id="rId6"/>
    <sheet name="残業評価内部規約 (新)" sheetId="13" r:id="rId7"/>
    <sheet name="時間外・法定休日の概念" sheetId="12" r:id="rId8"/>
    <sheet name="Module1" sheetId="3" state="veryHidden" r:id=""/>
  </sheets>
  <definedNames>
    <definedName name="_xlnm.Print_Area" localSheetId="2">'勤務報告書(下)'!$A$1:$O$59</definedName>
    <definedName name="_xlnm.Print_Area" localSheetId="0">'勤務報告書(上)'!$A$1:$O$59</definedName>
    <definedName name="_xlnm.Print_Area" localSheetId="3">'時間外作業報告書(下)'!$A$1:$N$60</definedName>
    <definedName name="_xlnm.Print_Area" localSheetId="1">'時間外作業報告書(上)'!$A$1:$N$60</definedName>
    <definedName name="回数リスト">パラメタ!$J$4:$J$10</definedName>
    <definedName name="申請リスト">パラメタ!$I$4:$I$6</definedName>
    <definedName name="役職リスト">パラメタ!$E$4:$E$6</definedName>
  </definedNames>
  <calcPr calcId="125725"/>
</workbook>
</file>

<file path=xl/calcChain.xml><?xml version="1.0" encoding="utf-8"?>
<calcChain xmlns="http://schemas.openxmlformats.org/spreadsheetml/2006/main">
  <c r="M4" i="8"/>
  <c r="L4" i="9"/>
  <c r="L4" i="11"/>
  <c r="R1" i="8"/>
  <c r="J2" s="1"/>
  <c r="J2" i="11" s="1"/>
  <c r="C12" i="8"/>
  <c r="C15"/>
  <c r="C18"/>
  <c r="C21"/>
  <c r="C24"/>
  <c r="C27"/>
  <c r="C30"/>
  <c r="C33"/>
  <c r="C36"/>
  <c r="C39"/>
  <c r="C42"/>
  <c r="C45"/>
  <c r="C48"/>
  <c r="C51"/>
  <c r="C54"/>
  <c r="G6" i="5"/>
  <c r="G5"/>
  <c r="G4"/>
  <c r="E20"/>
  <c r="F20"/>
  <c r="E21"/>
  <c r="H9"/>
  <c r="H11"/>
  <c r="H12"/>
  <c r="G19"/>
  <c r="G20"/>
  <c r="G21"/>
  <c r="G24"/>
  <c r="G22"/>
  <c r="G23"/>
  <c r="E19"/>
  <c r="F19"/>
  <c r="F18"/>
  <c r="I4" i="8"/>
  <c r="Y53"/>
  <c r="F4"/>
  <c r="C4"/>
  <c r="O60"/>
  <c r="I52"/>
  <c r="H52" i="11" s="1"/>
  <c r="E55" i="8"/>
  <c r="A1"/>
  <c r="M1"/>
  <c r="L1" i="11" s="1"/>
  <c r="F10" i="1"/>
  <c r="O60"/>
  <c r="A1"/>
  <c r="F13"/>
  <c r="F16"/>
  <c r="F19"/>
  <c r="F22"/>
  <c r="F25"/>
  <c r="F28"/>
  <c r="F31"/>
  <c r="F34"/>
  <c r="F37"/>
  <c r="F40"/>
  <c r="F43"/>
  <c r="F46"/>
  <c r="F49"/>
  <c r="F52"/>
  <c r="C12"/>
  <c r="C15"/>
  <c r="C18"/>
  <c r="C21"/>
  <c r="C24"/>
  <c r="C27"/>
  <c r="C30"/>
  <c r="C33"/>
  <c r="C36"/>
  <c r="C39"/>
  <c r="C42"/>
  <c r="C45"/>
  <c r="C48"/>
  <c r="C51"/>
  <c r="C54"/>
  <c r="E55"/>
  <c r="J2"/>
  <c r="M1"/>
  <c r="L1" i="9" s="1"/>
  <c r="H26" i="13"/>
  <c r="J26"/>
  <c r="K26"/>
  <c r="H24"/>
  <c r="J24"/>
  <c r="K24"/>
  <c r="H25"/>
  <c r="J25"/>
  <c r="K25"/>
  <c r="F9"/>
  <c r="F7"/>
  <c r="F8"/>
  <c r="F4" i="11"/>
  <c r="J4"/>
  <c r="E53"/>
  <c r="C53"/>
  <c r="E50"/>
  <c r="C50"/>
  <c r="E47"/>
  <c r="C47"/>
  <c r="E44"/>
  <c r="C44"/>
  <c r="E41"/>
  <c r="C41"/>
  <c r="E38"/>
  <c r="C38"/>
  <c r="E35"/>
  <c r="C35"/>
  <c r="E32"/>
  <c r="C32"/>
  <c r="E29"/>
  <c r="C29"/>
  <c r="E26"/>
  <c r="C26"/>
  <c r="E23"/>
  <c r="C23"/>
  <c r="E20"/>
  <c r="C20"/>
  <c r="E17"/>
  <c r="C17"/>
  <c r="E14"/>
  <c r="C14"/>
  <c r="E11"/>
  <c r="C11"/>
  <c r="E8"/>
  <c r="C8"/>
  <c r="N60"/>
  <c r="A1"/>
  <c r="J4" i="9"/>
  <c r="C4"/>
  <c r="E53"/>
  <c r="C53"/>
  <c r="E50"/>
  <c r="C50"/>
  <c r="E47"/>
  <c r="C47"/>
  <c r="E44"/>
  <c r="C44"/>
  <c r="E41"/>
  <c r="C41"/>
  <c r="E38"/>
  <c r="C38"/>
  <c r="E35"/>
  <c r="C35"/>
  <c r="E32"/>
  <c r="C32"/>
  <c r="E29"/>
  <c r="C29"/>
  <c r="E26"/>
  <c r="C26"/>
  <c r="E23"/>
  <c r="C23"/>
  <c r="E20"/>
  <c r="C20"/>
  <c r="E17"/>
  <c r="C17"/>
  <c r="E14"/>
  <c r="C14"/>
  <c r="E11"/>
  <c r="C11"/>
  <c r="F4"/>
  <c r="N60"/>
  <c r="E8"/>
  <c r="C8"/>
  <c r="A1"/>
  <c r="J2"/>
  <c r="F21" i="5"/>
  <c r="E22"/>
  <c r="J57" i="1"/>
  <c r="J57" i="8"/>
  <c r="F22" i="5"/>
  <c r="E23"/>
  <c r="J55" i="1"/>
  <c r="J55" i="8"/>
  <c r="F23" i="5"/>
  <c r="J56" i="1"/>
  <c r="J56" i="8"/>
  <c r="Y44"/>
  <c r="Y53" i="1"/>
  <c r="Y35" i="8"/>
  <c r="Y14"/>
  <c r="Y11"/>
  <c r="Y17" i="1"/>
  <c r="Y20"/>
  <c r="Y32" i="8"/>
  <c r="X14" i="1"/>
  <c r="X20" i="8"/>
  <c r="X44" i="1"/>
  <c r="Y50"/>
  <c r="Y50" i="8"/>
  <c r="X23" i="1"/>
  <c r="X41" i="8"/>
  <c r="Y26"/>
  <c r="Y29"/>
  <c r="X38" i="1"/>
  <c r="X26"/>
  <c r="Y32"/>
  <c r="Y8" i="8"/>
  <c r="Y47"/>
  <c r="X41" i="1"/>
  <c r="Y29"/>
  <c r="X17" i="8"/>
  <c r="Y11" i="1"/>
  <c r="X38" i="8"/>
  <c r="X47" i="1"/>
  <c r="X23" i="8"/>
  <c r="Y8" i="1"/>
  <c r="X35"/>
  <c r="Z8"/>
  <c r="T16" i="8"/>
  <c r="T22" i="1"/>
  <c r="T31" i="8"/>
  <c r="T25"/>
  <c r="T43" i="1"/>
  <c r="T13" i="8"/>
  <c r="T10" i="1"/>
  <c r="T31"/>
  <c r="T49" i="8"/>
  <c r="T52" i="1"/>
  <c r="T43" i="8"/>
  <c r="T37"/>
  <c r="T46" i="1"/>
  <c r="T22" i="8"/>
  <c r="T19" i="1"/>
  <c r="T34"/>
  <c r="T52" i="8"/>
  <c r="T40"/>
  <c r="T19"/>
  <c r="T28"/>
  <c r="T37" i="1"/>
  <c r="T49"/>
  <c r="T25"/>
  <c r="T16"/>
  <c r="T7" i="8"/>
  <c r="T46"/>
  <c r="T34"/>
  <c r="T13" i="1"/>
  <c r="T40"/>
  <c r="T10" i="8"/>
  <c r="T7" i="1"/>
  <c r="T28"/>
  <c r="AA8" l="1"/>
  <c r="U28"/>
  <c r="I28" s="1"/>
  <c r="H28" i="9" s="1"/>
  <c r="V29" i="1"/>
  <c r="U30"/>
  <c r="U29"/>
  <c r="W29"/>
  <c r="U7"/>
  <c r="I7" s="1"/>
  <c r="H7" i="9" s="1"/>
  <c r="U9" i="1"/>
  <c r="V8"/>
  <c r="W8"/>
  <c r="U8"/>
  <c r="U12" i="8"/>
  <c r="U10"/>
  <c r="I10" s="1"/>
  <c r="H10" i="11" s="1"/>
  <c r="U11" i="8"/>
  <c r="W11"/>
  <c r="V11"/>
  <c r="V41" i="1"/>
  <c r="U41"/>
  <c r="U40"/>
  <c r="U42"/>
  <c r="W41"/>
  <c r="U13"/>
  <c r="V14"/>
  <c r="W14"/>
  <c r="U14"/>
  <c r="U15"/>
  <c r="V35" i="8"/>
  <c r="W35"/>
  <c r="U36"/>
  <c r="U35"/>
  <c r="U34"/>
  <c r="I34" s="1"/>
  <c r="H34" i="11" s="1"/>
  <c r="V47" i="8"/>
  <c r="W47"/>
  <c r="U48"/>
  <c r="U47"/>
  <c r="U46"/>
  <c r="I46" s="1"/>
  <c r="H46" i="11" s="1"/>
  <c r="U8" i="8"/>
  <c r="U7"/>
  <c r="I7" s="1"/>
  <c r="H7" i="11" s="1"/>
  <c r="U9" i="8"/>
  <c r="W8"/>
  <c r="V8"/>
  <c r="U16" i="1"/>
  <c r="I16" s="1"/>
  <c r="H16" i="9" s="1"/>
  <c r="V17" i="1"/>
  <c r="U18"/>
  <c r="W17"/>
  <c r="U17"/>
  <c r="U26"/>
  <c r="W26"/>
  <c r="U27"/>
  <c r="U25"/>
  <c r="V26"/>
  <c r="U51"/>
  <c r="W50"/>
  <c r="V50"/>
  <c r="U50"/>
  <c r="U49"/>
  <c r="I49" s="1"/>
  <c r="H49" i="9" s="1"/>
  <c r="U37" i="1"/>
  <c r="U38"/>
  <c r="V38"/>
  <c r="U39"/>
  <c r="W38"/>
  <c r="U28" i="8"/>
  <c r="I28" s="1"/>
  <c r="H28" i="11" s="1"/>
  <c r="U30" i="8"/>
  <c r="U29"/>
  <c r="V29"/>
  <c r="W29"/>
  <c r="U21"/>
  <c r="W20"/>
  <c r="V20"/>
  <c r="U19"/>
  <c r="U20"/>
  <c r="U42"/>
  <c r="U41"/>
  <c r="V41"/>
  <c r="W41"/>
  <c r="U40"/>
  <c r="U53"/>
  <c r="U54"/>
  <c r="W53"/>
  <c r="V53"/>
  <c r="U52"/>
  <c r="U36" i="1"/>
  <c r="U35"/>
  <c r="U34"/>
  <c r="V35"/>
  <c r="W35"/>
  <c r="U19"/>
  <c r="I19" s="1"/>
  <c r="H19" i="9" s="1"/>
  <c r="W20" i="1"/>
  <c r="V20"/>
  <c r="U20"/>
  <c r="U21"/>
  <c r="U24" i="8"/>
  <c r="W23"/>
  <c r="U23"/>
  <c r="V23"/>
  <c r="U22"/>
  <c r="U48" i="1"/>
  <c r="U46"/>
  <c r="V47"/>
  <c r="W47"/>
  <c r="U47"/>
  <c r="U37" i="8"/>
  <c r="U39"/>
  <c r="U38"/>
  <c r="V38"/>
  <c r="W38"/>
  <c r="U43"/>
  <c r="I43" s="1"/>
  <c r="H43" i="11" s="1"/>
  <c r="U45" i="8"/>
  <c r="V44"/>
  <c r="U44"/>
  <c r="W44"/>
  <c r="W53" i="1"/>
  <c r="V53"/>
  <c r="U54"/>
  <c r="U52"/>
  <c r="I52" s="1"/>
  <c r="H52" i="9" s="1"/>
  <c r="U53" i="1"/>
  <c r="U51" i="8"/>
  <c r="U49"/>
  <c r="I49" s="1"/>
  <c r="H49" i="11" s="1"/>
  <c r="U50" i="8"/>
  <c r="W50"/>
  <c r="V50"/>
  <c r="U32" i="1"/>
  <c r="U31"/>
  <c r="I31" s="1"/>
  <c r="H31" i="9" s="1"/>
  <c r="V32" i="1"/>
  <c r="W32"/>
  <c r="U33"/>
  <c r="V11"/>
  <c r="U11"/>
  <c r="W11"/>
  <c r="U10"/>
  <c r="I10" s="1"/>
  <c r="H10" i="9" s="1"/>
  <c r="U12" i="1"/>
  <c r="U14" i="8"/>
  <c r="U15"/>
  <c r="W14"/>
  <c r="V14"/>
  <c r="U13"/>
  <c r="I13" s="1"/>
  <c r="H13" i="11" s="1"/>
  <c r="U45" i="1"/>
  <c r="U43"/>
  <c r="W44"/>
  <c r="V44"/>
  <c r="U44"/>
  <c r="U26" i="8"/>
  <c r="V26"/>
  <c r="U25"/>
  <c r="I25" s="1"/>
  <c r="H25" i="11" s="1"/>
  <c r="U27" i="8"/>
  <c r="W26"/>
  <c r="U32"/>
  <c r="V32"/>
  <c r="W32"/>
  <c r="U31"/>
  <c r="I31" s="1"/>
  <c r="H31" i="11" s="1"/>
  <c r="U33" i="8"/>
  <c r="U24" i="1"/>
  <c r="U23"/>
  <c r="U22"/>
  <c r="V23"/>
  <c r="W23"/>
  <c r="U18" i="8"/>
  <c r="U16"/>
  <c r="W17"/>
  <c r="U17"/>
  <c r="V17"/>
  <c r="Z11" i="1"/>
  <c r="AA11" s="1"/>
  <c r="N9"/>
  <c r="AB8"/>
  <c r="C24" i="9" l="1"/>
  <c r="I23" i="1"/>
  <c r="H23" i="9" s="1"/>
  <c r="E24"/>
  <c r="H33" i="8"/>
  <c r="G33" i="11" s="1"/>
  <c r="J33" i="8"/>
  <c r="I33" i="11" s="1"/>
  <c r="G33" i="8"/>
  <c r="F33" i="11" s="1"/>
  <c r="I33" i="8"/>
  <c r="H33" i="11" s="1"/>
  <c r="C45" i="9"/>
  <c r="I44" i="1"/>
  <c r="H44" i="9" s="1"/>
  <c r="E45"/>
  <c r="N12" i="1"/>
  <c r="AB11"/>
  <c r="E18" i="11"/>
  <c r="I17" i="8"/>
  <c r="H17" i="11" s="1"/>
  <c r="C18"/>
  <c r="Y17" i="8"/>
  <c r="I16"/>
  <c r="H16" i="11" s="1"/>
  <c r="I22" i="1"/>
  <c r="H22" i="9" s="1"/>
  <c r="Y23" i="1"/>
  <c r="J24"/>
  <c r="I24" i="9" s="1"/>
  <c r="H24" i="1"/>
  <c r="G24" i="9" s="1"/>
  <c r="I24" i="1"/>
  <c r="H24" i="9" s="1"/>
  <c r="G24" i="1"/>
  <c r="F24" i="9" s="1"/>
  <c r="X26" i="8"/>
  <c r="E27" i="11"/>
  <c r="I26" i="8"/>
  <c r="H26" i="11" s="1"/>
  <c r="C27"/>
  <c r="I43" i="1"/>
  <c r="H43" i="9" s="1"/>
  <c r="Y44" i="1"/>
  <c r="I14" i="8"/>
  <c r="H14" i="11" s="1"/>
  <c r="C15"/>
  <c r="E15"/>
  <c r="X14" i="8"/>
  <c r="C12" i="9"/>
  <c r="X11" i="1"/>
  <c r="E12" i="9"/>
  <c r="I11" i="1"/>
  <c r="H11" i="9" s="1"/>
  <c r="J33" i="1"/>
  <c r="I33" i="9" s="1"/>
  <c r="H33" i="1"/>
  <c r="G33" i="9" s="1"/>
  <c r="I33" i="1"/>
  <c r="H33" i="9" s="1"/>
  <c r="G33" i="1"/>
  <c r="F33" i="9" s="1"/>
  <c r="X32" i="1"/>
  <c r="I32"/>
  <c r="H32" i="9" s="1"/>
  <c r="E33"/>
  <c r="C33"/>
  <c r="I53" i="1"/>
  <c r="H53" i="9" s="1"/>
  <c r="X53" i="1"/>
  <c r="E54" i="9"/>
  <c r="C54"/>
  <c r="J54" i="1"/>
  <c r="I54" i="9" s="1"/>
  <c r="H54" i="1"/>
  <c r="G54" i="9" s="1"/>
  <c r="I54" i="1"/>
  <c r="H54" i="9" s="1"/>
  <c r="G54" i="1"/>
  <c r="F54" i="9" s="1"/>
  <c r="E45" i="11"/>
  <c r="I44" i="8"/>
  <c r="H44" i="11" s="1"/>
  <c r="X44" i="8"/>
  <c r="C45" i="11"/>
  <c r="J45" i="8"/>
  <c r="I45" i="11" s="1"/>
  <c r="H45" i="8"/>
  <c r="G45" i="11" s="1"/>
  <c r="I45" i="8"/>
  <c r="H45" i="11" s="1"/>
  <c r="G45" i="8"/>
  <c r="F45" i="11" s="1"/>
  <c r="E39"/>
  <c r="I38" i="8"/>
  <c r="H38" i="11" s="1"/>
  <c r="C39"/>
  <c r="Y38" i="8"/>
  <c r="I37"/>
  <c r="H37" i="11" s="1"/>
  <c r="I46" i="1"/>
  <c r="H46" i="9" s="1"/>
  <c r="Y47" i="1"/>
  <c r="Y23" i="8"/>
  <c r="I22"/>
  <c r="H22" i="11" s="1"/>
  <c r="E24"/>
  <c r="I23" i="8"/>
  <c r="H23" i="11" s="1"/>
  <c r="C24"/>
  <c r="J24" i="8"/>
  <c r="I24" i="11" s="1"/>
  <c r="H24" i="8"/>
  <c r="G24" i="11" s="1"/>
  <c r="I24" i="8"/>
  <c r="H24" i="11" s="1"/>
  <c r="G24" i="8"/>
  <c r="F24" i="11" s="1"/>
  <c r="X20" i="1"/>
  <c r="I20"/>
  <c r="H20" i="9" s="1"/>
  <c r="E21"/>
  <c r="C21"/>
  <c r="I34" i="1"/>
  <c r="H34" i="9" s="1"/>
  <c r="Y35" i="1"/>
  <c r="I36"/>
  <c r="H36" i="9" s="1"/>
  <c r="G36" i="1"/>
  <c r="F36" i="9" s="1"/>
  <c r="J36" i="1"/>
  <c r="I36" i="9" s="1"/>
  <c r="H36" i="1"/>
  <c r="G36" i="9" s="1"/>
  <c r="J54" i="8"/>
  <c r="I54" i="11" s="1"/>
  <c r="H54" i="8"/>
  <c r="G54" i="11" s="1"/>
  <c r="I54" i="8"/>
  <c r="H54" i="11" s="1"/>
  <c r="G54" i="8"/>
  <c r="F54" i="11" s="1"/>
  <c r="Y41" i="8"/>
  <c r="I40"/>
  <c r="H40" i="11" s="1"/>
  <c r="G42" i="8"/>
  <c r="F42" i="11" s="1"/>
  <c r="J42" i="8"/>
  <c r="I42" i="11" s="1"/>
  <c r="H42" i="8"/>
  <c r="G42" i="11" s="1"/>
  <c r="I42" i="8"/>
  <c r="H42" i="11" s="1"/>
  <c r="I19" i="8"/>
  <c r="H19" i="11" s="1"/>
  <c r="Y20" i="8"/>
  <c r="X29"/>
  <c r="I29"/>
  <c r="H29" i="11" s="1"/>
  <c r="C30"/>
  <c r="E30"/>
  <c r="J39" i="1"/>
  <c r="I39" i="9" s="1"/>
  <c r="H39" i="1"/>
  <c r="G39" i="9" s="1"/>
  <c r="I39" i="1"/>
  <c r="H39" i="9" s="1"/>
  <c r="G39" i="1"/>
  <c r="F39" i="9" s="1"/>
  <c r="I38" i="1"/>
  <c r="H38" i="9" s="1"/>
  <c r="E39"/>
  <c r="C39"/>
  <c r="I51" i="1"/>
  <c r="H51" i="9" s="1"/>
  <c r="G51" i="1"/>
  <c r="F51" i="9" s="1"/>
  <c r="H51" i="1"/>
  <c r="G51" i="9" s="1"/>
  <c r="J51" i="1"/>
  <c r="I51" i="9" s="1"/>
  <c r="I25" i="1"/>
  <c r="H25" i="9" s="1"/>
  <c r="Y26" i="1"/>
  <c r="I17"/>
  <c r="H17" i="9" s="1"/>
  <c r="E18"/>
  <c r="X17" i="1"/>
  <c r="C18" i="9"/>
  <c r="J18" i="1"/>
  <c r="I18" i="9" s="1"/>
  <c r="I18" i="1"/>
  <c r="H18" i="9" s="1"/>
  <c r="H18" i="1"/>
  <c r="G18" i="9" s="1"/>
  <c r="G18" i="1"/>
  <c r="F18" i="9" s="1"/>
  <c r="J48" i="8"/>
  <c r="I48" i="11" s="1"/>
  <c r="H48" i="8"/>
  <c r="G48" i="11" s="1"/>
  <c r="I48" i="8"/>
  <c r="H48" i="11" s="1"/>
  <c r="G48" i="8"/>
  <c r="F48" i="11" s="1"/>
  <c r="C36"/>
  <c r="I35" i="8"/>
  <c r="H35" i="11" s="1"/>
  <c r="E36"/>
  <c r="X35" i="8"/>
  <c r="J15" i="1"/>
  <c r="I15" i="9" s="1"/>
  <c r="I15" i="1"/>
  <c r="H15" i="9" s="1"/>
  <c r="H15" i="1"/>
  <c r="G15" i="9" s="1"/>
  <c r="G15" i="1"/>
  <c r="F15" i="9" s="1"/>
  <c r="I13" i="1"/>
  <c r="H13" i="9" s="1"/>
  <c r="Y14" i="1"/>
  <c r="I42"/>
  <c r="H42" i="9" s="1"/>
  <c r="G42" i="1"/>
  <c r="F42" i="9" s="1"/>
  <c r="J42" i="1"/>
  <c r="I42" i="9" s="1"/>
  <c r="H42" i="1"/>
  <c r="G42" i="9" s="1"/>
  <c r="I41" i="1"/>
  <c r="H41" i="9" s="1"/>
  <c r="E42"/>
  <c r="C42"/>
  <c r="X11" i="8"/>
  <c r="C12" i="11"/>
  <c r="E12"/>
  <c r="I11" i="8"/>
  <c r="H11" i="11" s="1"/>
  <c r="H12" i="8"/>
  <c r="G12" i="11" s="1"/>
  <c r="G12" i="8"/>
  <c r="F12" i="11" s="1"/>
  <c r="J12" i="8"/>
  <c r="I12" i="11" s="1"/>
  <c r="I12" i="8"/>
  <c r="H12" i="11" s="1"/>
  <c r="H9" i="1"/>
  <c r="G9" i="9" s="1"/>
  <c r="I9" i="1"/>
  <c r="H9" i="9" s="1"/>
  <c r="G9" i="1"/>
  <c r="F9" i="9" s="1"/>
  <c r="J9" i="1"/>
  <c r="I9" i="9" s="1"/>
  <c r="I30" i="1"/>
  <c r="H30" i="9" s="1"/>
  <c r="G30" i="1"/>
  <c r="F30" i="9" s="1"/>
  <c r="J30" i="1"/>
  <c r="I30" i="9" s="1"/>
  <c r="H30" i="1"/>
  <c r="G30" i="9" s="1"/>
  <c r="H18" i="8"/>
  <c r="G18" i="11" s="1"/>
  <c r="J18" i="8"/>
  <c r="I18" i="11" s="1"/>
  <c r="G18" i="8"/>
  <c r="F18" i="11" s="1"/>
  <c r="I18" i="8"/>
  <c r="H18" i="11" s="1"/>
  <c r="X32" i="8"/>
  <c r="E33" i="11"/>
  <c r="I32" i="8"/>
  <c r="H32" i="11" s="1"/>
  <c r="C33"/>
  <c r="J27" i="8"/>
  <c r="I27" i="11" s="1"/>
  <c r="H27" i="8"/>
  <c r="G27" i="11" s="1"/>
  <c r="I27" i="8"/>
  <c r="H27" i="11" s="1"/>
  <c r="G27" i="8"/>
  <c r="F27" i="11" s="1"/>
  <c r="H45" i="1"/>
  <c r="G45" i="9" s="1"/>
  <c r="G45" i="1"/>
  <c r="F45" i="9" s="1"/>
  <c r="J45" i="1"/>
  <c r="I45" i="9" s="1"/>
  <c r="I45" i="1"/>
  <c r="H45" i="9" s="1"/>
  <c r="J15" i="8"/>
  <c r="I15" i="11" s="1"/>
  <c r="H15" i="8"/>
  <c r="G15" i="11" s="1"/>
  <c r="I15" i="8"/>
  <c r="H15" i="11" s="1"/>
  <c r="G15" i="8"/>
  <c r="F15" i="11" s="1"/>
  <c r="J12" i="1"/>
  <c r="I12" i="9" s="1"/>
  <c r="I12" i="1"/>
  <c r="H12" i="9" s="1"/>
  <c r="H12" i="1"/>
  <c r="G12" i="9" s="1"/>
  <c r="G12" i="1"/>
  <c r="F12" i="9" s="1"/>
  <c r="X50" i="8"/>
  <c r="C51" i="11"/>
  <c r="I50" i="8"/>
  <c r="H50" i="11" s="1"/>
  <c r="E51"/>
  <c r="J51" i="8"/>
  <c r="I51" i="11" s="1"/>
  <c r="H51" i="8"/>
  <c r="G51" i="11" s="1"/>
  <c r="I51" i="8"/>
  <c r="H51" i="11" s="1"/>
  <c r="G51" i="8"/>
  <c r="F51" i="11" s="1"/>
  <c r="J39" i="8"/>
  <c r="I39" i="11" s="1"/>
  <c r="H39" i="8"/>
  <c r="G39" i="11" s="1"/>
  <c r="I39" i="8"/>
  <c r="H39" i="11" s="1"/>
  <c r="G39" i="8"/>
  <c r="F39" i="11" s="1"/>
  <c r="C48" i="9"/>
  <c r="I47" i="1"/>
  <c r="H47" i="9" s="1"/>
  <c r="E48"/>
  <c r="J48" i="1"/>
  <c r="I48" i="9" s="1"/>
  <c r="I48" i="1"/>
  <c r="H48" i="9" s="1"/>
  <c r="G48" i="1"/>
  <c r="F48" i="9" s="1"/>
  <c r="H48" i="1"/>
  <c r="G48" i="9" s="1"/>
  <c r="J21" i="1"/>
  <c r="I21" i="9" s="1"/>
  <c r="H21" i="1"/>
  <c r="G21" i="9" s="1"/>
  <c r="I21" i="1"/>
  <c r="H21" i="9" s="1"/>
  <c r="G21" i="1"/>
  <c r="F21" i="9" s="1"/>
  <c r="I35" i="1"/>
  <c r="H35" i="9" s="1"/>
  <c r="E36"/>
  <c r="C36"/>
  <c r="C54" i="11"/>
  <c r="E54"/>
  <c r="I53" i="8"/>
  <c r="H53" i="11" s="1"/>
  <c r="X53" i="8"/>
  <c r="I41"/>
  <c r="H41" i="11" s="1"/>
  <c r="E42"/>
  <c r="C42"/>
  <c r="E21"/>
  <c r="I20" i="8"/>
  <c r="H20" i="11" s="1"/>
  <c r="C21"/>
  <c r="J21" i="8"/>
  <c r="I21" i="11" s="1"/>
  <c r="H21" i="8"/>
  <c r="G21" i="11" s="1"/>
  <c r="I21" i="8"/>
  <c r="H21" i="11" s="1"/>
  <c r="G21" i="8"/>
  <c r="F21" i="11" s="1"/>
  <c r="J30" i="8"/>
  <c r="I30" i="11" s="1"/>
  <c r="G30" i="8"/>
  <c r="F30" i="11" s="1"/>
  <c r="H30" i="8"/>
  <c r="G30" i="11" s="1"/>
  <c r="I30" i="8"/>
  <c r="H30" i="11" s="1"/>
  <c r="I37" i="1"/>
  <c r="H37" i="9" s="1"/>
  <c r="Y38" i="1"/>
  <c r="X50"/>
  <c r="I50"/>
  <c r="H50" i="9" s="1"/>
  <c r="E51"/>
  <c r="C51"/>
  <c r="J27" i="1"/>
  <c r="I27" i="9" s="1"/>
  <c r="H27" i="1"/>
  <c r="G27" i="9" s="1"/>
  <c r="I27" i="1"/>
  <c r="H27" i="9" s="1"/>
  <c r="G27" i="1"/>
  <c r="F27" i="9" s="1"/>
  <c r="I26" i="1"/>
  <c r="H26" i="9" s="1"/>
  <c r="E27"/>
  <c r="C27"/>
  <c r="G9" i="8"/>
  <c r="F9" i="11" s="1"/>
  <c r="I9" i="8"/>
  <c r="H9" i="11" s="1"/>
  <c r="H9" i="8"/>
  <c r="G9" i="11" s="1"/>
  <c r="J9" i="8"/>
  <c r="I9" i="11" s="1"/>
  <c r="X8" i="8"/>
  <c r="E9" i="11"/>
  <c r="I8" i="8"/>
  <c r="H8" i="11" s="1"/>
  <c r="C9"/>
  <c r="X47" i="8"/>
  <c r="I47"/>
  <c r="H47" i="11" s="1"/>
  <c r="C48"/>
  <c r="E48"/>
  <c r="J36" i="8"/>
  <c r="I36" i="11" s="1"/>
  <c r="H36" i="8"/>
  <c r="G36" i="11" s="1"/>
  <c r="I36" i="8"/>
  <c r="H36" i="11" s="1"/>
  <c r="G36" i="8"/>
  <c r="F36" i="11" s="1"/>
  <c r="I14" i="1"/>
  <c r="H14" i="9" s="1"/>
  <c r="E15"/>
  <c r="C15"/>
  <c r="I40" i="1"/>
  <c r="H40" i="9" s="1"/>
  <c r="Y41" i="1"/>
  <c r="X8"/>
  <c r="N8" s="1"/>
  <c r="N11" s="1"/>
  <c r="I8"/>
  <c r="H8" i="9" s="1"/>
  <c r="E9"/>
  <c r="C9"/>
  <c r="X29" i="1"/>
  <c r="C30" i="9"/>
  <c r="I29" i="1"/>
  <c r="H29" i="9" s="1"/>
  <c r="E30"/>
  <c r="Z14" i="1" l="1"/>
  <c r="AA14" s="1"/>
  <c r="Z17" l="1"/>
  <c r="AA17" s="1"/>
  <c r="N15"/>
  <c r="AB14"/>
  <c r="N14" s="1"/>
  <c r="AB17" l="1"/>
  <c r="N17" s="1"/>
  <c r="Z20"/>
  <c r="AA20" s="1"/>
  <c r="N18"/>
  <c r="AB20" l="1"/>
  <c r="N20" s="1"/>
  <c r="N21"/>
  <c r="Z23"/>
  <c r="AA23" s="1"/>
  <c r="N24" l="1"/>
  <c r="AB23"/>
  <c r="Z26"/>
  <c r="AA26" s="1"/>
  <c r="N23"/>
  <c r="N27" l="1"/>
  <c r="Z29"/>
  <c r="AA29" s="1"/>
  <c r="AB26"/>
  <c r="N26" s="1"/>
  <c r="N30" l="1"/>
  <c r="Z32"/>
  <c r="AA32" s="1"/>
  <c r="AB29"/>
  <c r="N29" s="1"/>
  <c r="AB32" l="1"/>
  <c r="N32" s="1"/>
  <c r="N33"/>
  <c r="Z35"/>
  <c r="AA35" s="1"/>
  <c r="N36" l="1"/>
  <c r="AB35"/>
  <c r="Z38"/>
  <c r="AA38" s="1"/>
  <c r="N35"/>
  <c r="AB38" l="1"/>
  <c r="N38" s="1"/>
  <c r="N39"/>
  <c r="Z41"/>
  <c r="AA41" s="1"/>
  <c r="N42" l="1"/>
  <c r="AB41"/>
  <c r="Z44"/>
  <c r="AA44" s="1"/>
  <c r="N41"/>
  <c r="N45" l="1"/>
  <c r="AB44"/>
  <c r="Z47"/>
  <c r="AA47" s="1"/>
  <c r="N44"/>
  <c r="AB47" l="1"/>
  <c r="N47" s="1"/>
  <c r="N48"/>
  <c r="Z50"/>
  <c r="AA50" s="1"/>
  <c r="Z53" l="1"/>
  <c r="AB50"/>
  <c r="N51"/>
  <c r="N50"/>
  <c r="AA53" l="1"/>
  <c r="N55"/>
  <c r="Z5" i="8"/>
  <c r="AB53" i="1" l="1"/>
  <c r="N53" s="1"/>
  <c r="N54"/>
  <c r="AA5" i="8"/>
  <c r="Z8" s="1"/>
  <c r="AA8" s="1"/>
  <c r="N9" l="1"/>
  <c r="AB8"/>
  <c r="N8" s="1"/>
  <c r="Z11"/>
  <c r="AA11" s="1"/>
  <c r="N56" i="1"/>
  <c r="U56"/>
  <c r="C56" l="1"/>
  <c r="C57"/>
  <c r="G57" i="9"/>
  <c r="G58"/>
  <c r="G56"/>
  <c r="Z14" i="8"/>
  <c r="AA14" s="1"/>
  <c r="N12"/>
  <c r="AB11"/>
  <c r="N11" s="1"/>
  <c r="AB14" l="1"/>
  <c r="N14" s="1"/>
  <c r="N15"/>
  <c r="Z17"/>
  <c r="AA17" s="1"/>
  <c r="N18" l="1"/>
  <c r="Z20"/>
  <c r="AA20" s="1"/>
  <c r="AB17"/>
  <c r="N17" s="1"/>
  <c r="N21" l="1"/>
  <c r="AB20"/>
  <c r="N20" s="1"/>
  <c r="Z23"/>
  <c r="AA23" s="1"/>
  <c r="N24" l="1"/>
  <c r="Z26"/>
  <c r="AA26" s="1"/>
  <c r="AB23"/>
  <c r="N23" s="1"/>
  <c r="AB26" l="1"/>
  <c r="N26" s="1"/>
  <c r="Z29"/>
  <c r="AA29" s="1"/>
  <c r="N27"/>
  <c r="Z32" l="1"/>
  <c r="AA32" s="1"/>
  <c r="AB29"/>
  <c r="N29" s="1"/>
  <c r="Z35" l="1"/>
  <c r="AA35" s="1"/>
  <c r="N33"/>
  <c r="AB32"/>
  <c r="N32" s="1"/>
  <c r="AB35" l="1"/>
  <c r="N35" s="1"/>
  <c r="N36"/>
  <c r="Z38"/>
  <c r="AA38" s="1"/>
  <c r="AB38" l="1"/>
  <c r="N38" s="1"/>
  <c r="N39"/>
  <c r="Z41"/>
  <c r="AA41" s="1"/>
  <c r="AB41" l="1"/>
  <c r="N41" s="1"/>
  <c r="N42"/>
  <c r="Z44"/>
  <c r="AA44" s="1"/>
  <c r="AB44" l="1"/>
  <c r="N44" s="1"/>
  <c r="N45"/>
  <c r="Z47"/>
  <c r="AA47" s="1"/>
  <c r="AB47" l="1"/>
  <c r="N47" s="1"/>
  <c r="N48"/>
  <c r="Z50"/>
  <c r="AA50" s="1"/>
  <c r="AB50" l="1"/>
  <c r="N50" s="1"/>
  <c r="N51"/>
  <c r="Z53"/>
  <c r="N55" l="1"/>
  <c r="N56"/>
  <c r="AA53"/>
  <c r="N54" l="1"/>
  <c r="AB53"/>
  <c r="N53" s="1"/>
  <c r="U56" s="1"/>
  <c r="G56" i="11" l="1"/>
  <c r="G58"/>
  <c r="G57"/>
  <c r="C56" i="8"/>
  <c r="C57"/>
</calcChain>
</file>

<file path=xl/comments1.xml><?xml version="1.0" encoding="utf-8"?>
<comments xmlns="http://schemas.openxmlformats.org/spreadsheetml/2006/main">
  <authors>
    <author>admin</author>
  </authors>
  <commentList>
    <comment ref="E18" authorId="0">
      <text>
        <r>
          <rPr>
            <sz val="9"/>
            <color indexed="81"/>
            <rFont val="ＭＳ Ｐゴシック"/>
            <family val="3"/>
            <charset val="128"/>
          </rPr>
          <t xml:space="preserve">この時間を変更すると、始業時間を起点とする休憩時間がわかります。
</t>
        </r>
      </text>
    </comment>
  </commentList>
</comments>
</file>

<file path=xl/sharedStrings.xml><?xml version="1.0" encoding="utf-8"?>
<sst xmlns="http://schemas.openxmlformats.org/spreadsheetml/2006/main" count="1127" uniqueCount="362">
  <si>
    <t>日付</t>
  </si>
  <si>
    <t>曜</t>
  </si>
  <si>
    <t>作　業　内　容</t>
  </si>
  <si>
    <t>勤 務 報 告 書</t>
    <rPh sb="0" eb="1">
      <t>ツトム</t>
    </rPh>
    <rPh sb="2" eb="3">
      <t>ツトム</t>
    </rPh>
    <rPh sb="4" eb="5">
      <t>ホウ</t>
    </rPh>
    <rPh sb="6" eb="7">
      <t>コク</t>
    </rPh>
    <rPh sb="8" eb="9">
      <t>ショ</t>
    </rPh>
    <phoneticPr fontId="4"/>
  </si>
  <si>
    <t>出勤時間</t>
    <rPh sb="0" eb="2">
      <t>シュッキン</t>
    </rPh>
    <rPh sb="2" eb="4">
      <t>ジカン</t>
    </rPh>
    <phoneticPr fontId="4"/>
  </si>
  <si>
    <t>退勤時間</t>
    <rPh sb="0" eb="2">
      <t>タイキン</t>
    </rPh>
    <rPh sb="2" eb="4">
      <t>ジカン</t>
    </rPh>
    <phoneticPr fontId="4"/>
  </si>
  <si>
    <t>（勤務形態）</t>
    <rPh sb="1" eb="3">
      <t>キンム</t>
    </rPh>
    <rPh sb="3" eb="5">
      <t>ケイタイ</t>
    </rPh>
    <phoneticPr fontId="4"/>
  </si>
  <si>
    <t>勤務</t>
    <rPh sb="0" eb="2">
      <t>キンム</t>
    </rPh>
    <phoneticPr fontId="4"/>
  </si>
  <si>
    <t>場所</t>
    <rPh sb="0" eb="2">
      <t>バショ</t>
    </rPh>
    <phoneticPr fontId="4"/>
  </si>
  <si>
    <t>勤務時間</t>
    <rPh sb="0" eb="2">
      <t>キンム</t>
    </rPh>
    <rPh sb="2" eb="4">
      <t>ジカン</t>
    </rPh>
    <phoneticPr fontId="4"/>
  </si>
  <si>
    <t>残業時間</t>
    <rPh sb="0" eb="2">
      <t>ザンギョウ</t>
    </rPh>
    <rPh sb="2" eb="4">
      <t>ジカン</t>
    </rPh>
    <phoneticPr fontId="4"/>
  </si>
  <si>
    <t>総務</t>
    <rPh sb="0" eb="2">
      <t>ソウム</t>
    </rPh>
    <phoneticPr fontId="4"/>
  </si>
  <si>
    <t>処理欄</t>
    <rPh sb="0" eb="2">
      <t>ショリ</t>
    </rPh>
    <rPh sb="2" eb="3">
      <t>ラン</t>
    </rPh>
    <phoneticPr fontId="4"/>
  </si>
  <si>
    <t>遅刻・早退事由　等</t>
    <rPh sb="0" eb="2">
      <t>チコク</t>
    </rPh>
    <rPh sb="3" eb="5">
      <t>ソウタイ</t>
    </rPh>
    <rPh sb="5" eb="7">
      <t>ジユウ</t>
    </rPh>
    <rPh sb="8" eb="9">
      <t>ナド</t>
    </rPh>
    <phoneticPr fontId="4"/>
  </si>
  <si>
    <t>所属</t>
    <rPh sb="0" eb="2">
      <t>ショゾク</t>
    </rPh>
    <phoneticPr fontId="4"/>
  </si>
  <si>
    <t>システム部</t>
    <rPh sb="4" eb="5">
      <t>ブ</t>
    </rPh>
    <phoneticPr fontId="4"/>
  </si>
  <si>
    <t>氏名</t>
    <rPh sb="0" eb="2">
      <t>シメイ</t>
    </rPh>
    <phoneticPr fontId="4"/>
  </si>
  <si>
    <t>提出日</t>
    <rPh sb="0" eb="2">
      <t>テイシュツ</t>
    </rPh>
    <rPh sb="2" eb="3">
      <t>ヒ</t>
    </rPh>
    <phoneticPr fontId="4"/>
  </si>
  <si>
    <t>総務印</t>
    <rPh sb="0" eb="2">
      <t>ソウム</t>
    </rPh>
    <rPh sb="2" eb="3">
      <t>イン</t>
    </rPh>
    <phoneticPr fontId="4"/>
  </si>
  <si>
    <t>～</t>
    <phoneticPr fontId="4"/>
  </si>
  <si>
    <t>基準日</t>
    <rPh sb="0" eb="2">
      <t>キジュン</t>
    </rPh>
    <rPh sb="2" eb="3">
      <t>ヒ</t>
    </rPh>
    <phoneticPr fontId="4"/>
  </si>
  <si>
    <t>上下区分</t>
    <rPh sb="0" eb="1">
      <t>ウエ</t>
    </rPh>
    <rPh sb="1" eb="2">
      <t>シタ</t>
    </rPh>
    <rPh sb="2" eb="4">
      <t>クブン</t>
    </rPh>
    <phoneticPr fontId="4"/>
  </si>
  <si>
    <t>○</t>
    <phoneticPr fontId="4"/>
  </si>
  <si>
    <t>上期分</t>
    <rPh sb="0" eb="1">
      <t>カミ</t>
    </rPh>
    <rPh sb="1" eb="2">
      <t>キ</t>
    </rPh>
    <rPh sb="2" eb="3">
      <t>ブン</t>
    </rPh>
    <phoneticPr fontId="4"/>
  </si>
  <si>
    <t>下期分</t>
    <rPh sb="0" eb="1">
      <t>シタ</t>
    </rPh>
    <rPh sb="1" eb="2">
      <t>キ</t>
    </rPh>
    <rPh sb="2" eb="3">
      <t>ブン</t>
    </rPh>
    <phoneticPr fontId="4"/>
  </si>
  <si>
    <t>勤務報告書の使用方法　　　　　　　　　　　　　　　　　　　　　　　　　　　　　　　　</t>
  </si>
  <si>
    <t>　　　　　　　　　　　　　　　　　　　　　　　　　　　　　　　　　　　　　　　　　　</t>
  </si>
  <si>
    <t>（運用と目的）　　　　　　　　　　　　　　　　　　　　　　　　　　　　　　　　　　　</t>
  </si>
  <si>
    <t>　　　２種類を作成する。　　　　　　　　　　　　　　　　　　　　　　　　　　　　　　</t>
  </si>
  <si>
    <t>　・　勤務時間・残業時間・作業内容を各自で記入することにより、作業の進捗・効率等を　</t>
  </si>
  <si>
    <t>　　　認識することを目的とする。　　　　　　　　　　　　　　　　　　　　　　　　　　</t>
  </si>
  <si>
    <t>（記入方法）　　　　　　　　　　　　　　　　　　　　　　　　　　　　　　　　　　　　</t>
  </si>
  <si>
    <t>　・　日付（曜）　　　　　－　（　）内に曜日を月～日で記入する。　　　　　　　　　　</t>
  </si>
  <si>
    <t>　・　出勤時間～退勤時間　－　出来るだけ正確な時間で記入する。　　　　　　　　　　　</t>
  </si>
  <si>
    <t>　・　勤務形態　　　　　　－　該当する項目を○で囲む。　　　　　　　　　　　　　　　</t>
  </si>
  <si>
    <t>　　　　　　　　シ：夜間作業（２２時以降）がある時、又は前日夜間作業時間が２２時を　</t>
  </si>
  <si>
    <t>　　　　　　　　　　超えた時にシフト勤務を認め、このために出勤時間を遅らせた場合　　</t>
  </si>
  <si>
    <t>　　　　　　　　遅：シフト勤務以外で遅刻した場合　　　　　　　　　　　　　　　　　　</t>
  </si>
  <si>
    <t>　　　　　　　　早：私用にて早退した場合　　　　　　　　　　　　　　　　　　　　　　</t>
  </si>
  <si>
    <t>　　　　　　　　代：休日勤務による代休を取得した場合　　　　　　　　　　　　　　　　</t>
  </si>
  <si>
    <t>　　　　　　　　休：就業規則で休日と指定した日（日曜・祝日等）以外の休日を取得した　</t>
  </si>
  <si>
    <t>　　　　　　　　　　場合　　　　　　　　　　　　　　　　　　　　　　　　　　　　　　</t>
  </si>
  <si>
    <t>　　　　　　　　　　（この場合は、休日願届を提出し、許可を得る必要がある）　　　　　</t>
  </si>
  <si>
    <t>　・　出勤場所　　　　　　－　該当する項目を○で囲む。　　　　　　　　　　　　　　　</t>
  </si>
  <si>
    <t>　　　　　　　　本：本社　ユ：ユーザ先　出：出張　教：教育　　　　　　　　　　　　　</t>
  </si>
  <si>
    <t>　・　勤務時間　　　　　　－　出勤時間から退勤時間までの作業時間を記入する。　　　　</t>
  </si>
  <si>
    <t>　　　　　　　　例）定時出勤した場合、　　　　　　　　　　　　　　　　　　　　　　　</t>
  </si>
  <si>
    <t>　　　　　　　　　　　本社作業では１８時３０分からの時間　　　　　　　　　　　　　　</t>
  </si>
  <si>
    <t>　　　　　　　　　　　ユーザ先作業ではユーザ先の終了時間＋３０分後からの時間　　　　</t>
  </si>
  <si>
    <t>　　　　　　　　　　尚、３０分未満については切捨てとする。　　　　　　　　　　　　　</t>
  </si>
  <si>
    <t>　　　　　　　　　　又、1)シフト勤務のとき、シフトした時間を減じて計算する。　　　　</t>
  </si>
  <si>
    <t>　　　　　　　　　　　　2)教育のとき、本人の自己啓発の時間として残業としない。　　　</t>
  </si>
  <si>
    <t>　　　　　　　　　　　　3)出張・ユーザ先のとき、勤務時間の算定が難しいとした場合は、</t>
  </si>
  <si>
    <t>　　　　　　　　　　　　　所定時間勤務したものとみなし残業としない事がある。　　　　</t>
  </si>
  <si>
    <t>　　　　　　　　　　　　　（特に出張の場合）　　　　　　　　　　　　　　　　　　　　</t>
  </si>
  <si>
    <t>　・　作業内容　　　　　　－　その日行なった作業内容を記入する。　　　　　　　　　　</t>
  </si>
  <si>
    <t>　　　　　　　　　　又、遅刻・早退・欠勤の場合はその事由　　　　　　　　　　　　　　</t>
  </si>
  <si>
    <t>　　　　　　　　　　　　記入する。　　　　　　　　　　　　　　　　　　　　　　　　　</t>
  </si>
  <si>
    <t>　・　備考（連絡メモ等）　－　会社にたいする要望・問題点等があれば記入する。　　　　</t>
  </si>
  <si>
    <t>　・　残業時間　　　　　　－　勤務時間外の残業時間を３０分（０．５Ｈ）単位で記入する。</t>
    <phoneticPr fontId="6"/>
  </si>
  <si>
    <t>　　　　　　　　　　　　時間内に私用外出した場合はその時間（出来るだけ正確に）もここに</t>
    <phoneticPr fontId="6"/>
  </si>
  <si>
    <t>総務　処理欄</t>
    <rPh sb="0" eb="2">
      <t>ソウム</t>
    </rPh>
    <rPh sb="3" eb="5">
      <t>ショリ</t>
    </rPh>
    <rPh sb="5" eb="6">
      <t>ラン</t>
    </rPh>
    <phoneticPr fontId="4"/>
  </si>
  <si>
    <t>残業</t>
    <rPh sb="0" eb="2">
      <t>ザンギョウ</t>
    </rPh>
    <phoneticPr fontId="4"/>
  </si>
  <si>
    <t>深夜時間</t>
    <rPh sb="0" eb="2">
      <t>シンヤ</t>
    </rPh>
    <rPh sb="2" eb="4">
      <t>ジカン</t>
    </rPh>
    <phoneticPr fontId="4"/>
  </si>
  <si>
    <t>休日時間</t>
    <rPh sb="0" eb="2">
      <t>キュウジツ</t>
    </rPh>
    <rPh sb="2" eb="4">
      <t>ジカン</t>
    </rPh>
    <phoneticPr fontId="4"/>
  </si>
  <si>
    <t>私用外出</t>
    <rPh sb="0" eb="2">
      <t>シヨウ</t>
    </rPh>
    <rPh sb="2" eb="4">
      <t>ガイシュツ</t>
    </rPh>
    <phoneticPr fontId="4"/>
  </si>
  <si>
    <t>遅刻早退</t>
    <rPh sb="0" eb="2">
      <t>チコク</t>
    </rPh>
    <rPh sb="2" eb="4">
      <t>ソウタイ</t>
    </rPh>
    <phoneticPr fontId="4"/>
  </si>
  <si>
    <t>休み</t>
    <rPh sb="0" eb="1">
      <t>ヤス</t>
    </rPh>
    <phoneticPr fontId="4"/>
  </si>
  <si>
    <t>年休</t>
    <rPh sb="0" eb="2">
      <t>ネンキュウ</t>
    </rPh>
    <phoneticPr fontId="4"/>
  </si>
  <si>
    <t>特休</t>
    <rPh sb="0" eb="1">
      <t>トク</t>
    </rPh>
    <rPh sb="1" eb="2">
      <t>キュウ</t>
    </rPh>
    <phoneticPr fontId="4"/>
  </si>
  <si>
    <t>欠勤</t>
    <rPh sb="0" eb="2">
      <t>ケッキン</t>
    </rPh>
    <phoneticPr fontId="4"/>
  </si>
  <si>
    <t>年休残</t>
    <rPh sb="0" eb="2">
      <t>ネンキュウ</t>
    </rPh>
    <rPh sb="2" eb="3">
      <t>ザン</t>
    </rPh>
    <phoneticPr fontId="4"/>
  </si>
  <si>
    <t>備考（連絡メモなど）</t>
    <rPh sb="0" eb="2">
      <t>ビコウ</t>
    </rPh>
    <rPh sb="3" eb="5">
      <t>レンラク</t>
    </rPh>
    <phoneticPr fontId="4"/>
  </si>
  <si>
    <t>元旦</t>
    <rPh sb="0" eb="2">
      <t>ガンタン</t>
    </rPh>
    <phoneticPr fontId="6"/>
  </si>
  <si>
    <t>成人の日</t>
    <rPh sb="0" eb="2">
      <t>セイジン</t>
    </rPh>
    <rPh sb="3" eb="4">
      <t>ヒ</t>
    </rPh>
    <phoneticPr fontId="6"/>
  </si>
  <si>
    <t>建国記念日</t>
    <rPh sb="0" eb="2">
      <t>ケンコク</t>
    </rPh>
    <rPh sb="2" eb="5">
      <t>キネンビ</t>
    </rPh>
    <phoneticPr fontId="6"/>
  </si>
  <si>
    <t>春分の日</t>
    <rPh sb="0" eb="2">
      <t>シュンブン</t>
    </rPh>
    <rPh sb="3" eb="4">
      <t>ヒ</t>
    </rPh>
    <phoneticPr fontId="6"/>
  </si>
  <si>
    <t>みどりの日</t>
    <rPh sb="4" eb="5">
      <t>ヒ</t>
    </rPh>
    <phoneticPr fontId="6"/>
  </si>
  <si>
    <t>憲法記念日</t>
    <rPh sb="0" eb="2">
      <t>ケンポウ</t>
    </rPh>
    <rPh sb="2" eb="5">
      <t>キネンビ</t>
    </rPh>
    <phoneticPr fontId="6"/>
  </si>
  <si>
    <t>こどもの日</t>
    <rPh sb="4" eb="5">
      <t>ヒ</t>
    </rPh>
    <phoneticPr fontId="6"/>
  </si>
  <si>
    <t>海の日</t>
    <rPh sb="0" eb="1">
      <t>ウミ</t>
    </rPh>
    <rPh sb="2" eb="3">
      <t>ヒ</t>
    </rPh>
    <phoneticPr fontId="6"/>
  </si>
  <si>
    <t>敬老の日</t>
    <rPh sb="0" eb="2">
      <t>ケイロウ</t>
    </rPh>
    <rPh sb="3" eb="4">
      <t>ヒ</t>
    </rPh>
    <phoneticPr fontId="6"/>
  </si>
  <si>
    <t>秋分の日</t>
    <rPh sb="0" eb="2">
      <t>シュウブン</t>
    </rPh>
    <rPh sb="3" eb="4">
      <t>ヒ</t>
    </rPh>
    <phoneticPr fontId="6"/>
  </si>
  <si>
    <t>体育の日</t>
    <rPh sb="0" eb="2">
      <t>タイイク</t>
    </rPh>
    <rPh sb="3" eb="4">
      <t>ヒ</t>
    </rPh>
    <phoneticPr fontId="6"/>
  </si>
  <si>
    <t>勤労感謝の日</t>
    <rPh sb="0" eb="2">
      <t>キンロウ</t>
    </rPh>
    <rPh sb="2" eb="4">
      <t>カンシャ</t>
    </rPh>
    <rPh sb="5" eb="6">
      <t>ヒ</t>
    </rPh>
    <phoneticPr fontId="6"/>
  </si>
  <si>
    <t>天皇誕生日</t>
    <rPh sb="0" eb="2">
      <t>テンノウ</t>
    </rPh>
    <rPh sb="2" eb="4">
      <t>タンジョウ</t>
    </rPh>
    <rPh sb="4" eb="5">
      <t>ヒ</t>
    </rPh>
    <phoneticPr fontId="6"/>
  </si>
  <si>
    <t>盆休日</t>
    <rPh sb="0" eb="1">
      <t>ボン</t>
    </rPh>
    <rPh sb="1" eb="3">
      <t>キュウジツ</t>
    </rPh>
    <phoneticPr fontId="6"/>
  </si>
  <si>
    <t>年末休日</t>
    <rPh sb="0" eb="2">
      <t>ネンマツ</t>
    </rPh>
    <rPh sb="2" eb="4">
      <t>キュウジツ</t>
    </rPh>
    <phoneticPr fontId="6"/>
  </si>
  <si>
    <t>年始休日</t>
    <rPh sb="0" eb="2">
      <t>ネンシ</t>
    </rPh>
    <rPh sb="2" eb="4">
      <t>キュウジツ</t>
    </rPh>
    <phoneticPr fontId="6"/>
  </si>
  <si>
    <t>〔休日〕</t>
    <rPh sb="1" eb="3">
      <t>キュウジツ</t>
    </rPh>
    <phoneticPr fontId="6"/>
  </si>
  <si>
    <t>〔既定勤務時間〕</t>
    <rPh sb="1" eb="3">
      <t>キテイ</t>
    </rPh>
    <rPh sb="3" eb="5">
      <t>キンム</t>
    </rPh>
    <rPh sb="5" eb="7">
      <t>ジカン</t>
    </rPh>
    <phoneticPr fontId="6"/>
  </si>
  <si>
    <t>　・　勤務報告書は１ヶ月単位とし、給与計算の締日を基準とした「上期用」「下期用」の　</t>
    <phoneticPr fontId="6"/>
  </si>
  <si>
    <t>　　　　　　　　　　　　　　　３０分（０．５Ｈ）単位で記入し、端数時間は切り捨てる。　　</t>
    <phoneticPr fontId="6"/>
  </si>
  <si>
    <t>Ｈ</t>
    <phoneticPr fontId="6"/>
  </si>
  <si>
    <t>日</t>
    <rPh sb="0" eb="1">
      <t>ヒ</t>
    </rPh>
    <phoneticPr fontId="6"/>
  </si>
  <si>
    <t>～</t>
    <phoneticPr fontId="4"/>
  </si>
  <si>
    <t>H</t>
    <phoneticPr fontId="4"/>
  </si>
  <si>
    <t>（土）</t>
  </si>
  <si>
    <t>（日）</t>
  </si>
  <si>
    <t>（月）</t>
  </si>
  <si>
    <t>（火）</t>
  </si>
  <si>
    <t>（水）</t>
  </si>
  <si>
    <t>（木）</t>
  </si>
  <si>
    <t>（金）</t>
  </si>
  <si>
    <t>～</t>
    <phoneticPr fontId="4"/>
  </si>
  <si>
    <t>～</t>
    <phoneticPr fontId="4"/>
  </si>
  <si>
    <t>勤務時間</t>
    <rPh sb="0" eb="2">
      <t>キンム</t>
    </rPh>
    <rPh sb="2" eb="4">
      <t>ジカン</t>
    </rPh>
    <phoneticPr fontId="6"/>
  </si>
  <si>
    <t>休憩時間</t>
    <rPh sb="0" eb="2">
      <t>キュウケイ</t>
    </rPh>
    <rPh sb="2" eb="4">
      <t>ジカン</t>
    </rPh>
    <phoneticPr fontId="6"/>
  </si>
  <si>
    <t>時間外作業報告書</t>
    <rPh sb="0" eb="3">
      <t>ジカンガイ</t>
    </rPh>
    <rPh sb="3" eb="5">
      <t>サギョウ</t>
    </rPh>
    <rPh sb="5" eb="8">
      <t>ホウコクショ</t>
    </rPh>
    <phoneticPr fontId="4"/>
  </si>
  <si>
    <t>時間外作業理由</t>
    <rPh sb="0" eb="3">
      <t>ジカンガイ</t>
    </rPh>
    <rPh sb="3" eb="5">
      <t>サギョウ</t>
    </rPh>
    <rPh sb="5" eb="7">
      <t>リユウ</t>
    </rPh>
    <phoneticPr fontId="6"/>
  </si>
  <si>
    <t>確認欄</t>
    <rPh sb="0" eb="2">
      <t>カクニン</t>
    </rPh>
    <rPh sb="2" eb="3">
      <t>ラン</t>
    </rPh>
    <phoneticPr fontId="4"/>
  </si>
  <si>
    <t>　シ　遅　早　代　休</t>
  </si>
  <si>
    <t xml:space="preserve">  本　ユ
  出　教</t>
    <rPh sb="2" eb="3">
      <t>ホン</t>
    </rPh>
    <rPh sb="8" eb="9">
      <t>デ</t>
    </rPh>
    <rPh sb="10" eb="11">
      <t>キョウ</t>
    </rPh>
    <phoneticPr fontId="4"/>
  </si>
  <si>
    <t>〔社名〕</t>
    <rPh sb="1" eb="3">
      <t>シャメイ</t>
    </rPh>
    <phoneticPr fontId="6"/>
  </si>
  <si>
    <t>株式会社システムリンク</t>
    <rPh sb="0" eb="4">
      <t>カブシキガイシャ</t>
    </rPh>
    <phoneticPr fontId="6"/>
  </si>
  <si>
    <t>残業累計(参考)</t>
    <rPh sb="0" eb="2">
      <t>ザンギョウ</t>
    </rPh>
    <rPh sb="2" eb="4">
      <t>ルイケイ</t>
    </rPh>
    <rPh sb="5" eb="7">
      <t>サンコウ</t>
    </rPh>
    <phoneticPr fontId="4"/>
  </si>
  <si>
    <t>始業終業</t>
    <rPh sb="0" eb="2">
      <t>シギョウ</t>
    </rPh>
    <rPh sb="2" eb="4">
      <t>シュウギョウ</t>
    </rPh>
    <phoneticPr fontId="6"/>
  </si>
  <si>
    <t/>
  </si>
  <si>
    <t>残業開始</t>
    <rPh sb="0" eb="2">
      <t>ザンギョウ</t>
    </rPh>
    <rPh sb="2" eb="4">
      <t>カイシ</t>
    </rPh>
    <phoneticPr fontId="4"/>
  </si>
  <si>
    <t>残業終了</t>
    <rPh sb="0" eb="2">
      <t>ザンギョウ</t>
    </rPh>
    <rPh sb="2" eb="4">
      <t>シュウリョウ</t>
    </rPh>
    <phoneticPr fontId="4"/>
  </si>
  <si>
    <t>H</t>
    <phoneticPr fontId="4"/>
  </si>
  <si>
    <t>～</t>
    <phoneticPr fontId="4"/>
  </si>
  <si>
    <t>-</t>
  </si>
  <si>
    <t>～</t>
    <phoneticPr fontId="4"/>
  </si>
  <si>
    <t>Ver2.0</t>
    <phoneticPr fontId="6"/>
  </si>
  <si>
    <t>計</t>
    <rPh sb="0" eb="1">
      <t>ケイ</t>
    </rPh>
    <phoneticPr fontId="6"/>
  </si>
  <si>
    <t>開始時間</t>
    <rPh sb="0" eb="2">
      <t>カイシ</t>
    </rPh>
    <rPh sb="2" eb="4">
      <t>ジカン</t>
    </rPh>
    <phoneticPr fontId="6"/>
  </si>
  <si>
    <t>終了時間</t>
    <rPh sb="0" eb="2">
      <t>シュウリョウ</t>
    </rPh>
    <rPh sb="2" eb="4">
      <t>ジカン</t>
    </rPh>
    <phoneticPr fontId="6"/>
  </si>
  <si>
    <t>氏名</t>
  </si>
  <si>
    <t>役職</t>
    <rPh sb="0" eb="2">
      <t>ヤクショク</t>
    </rPh>
    <phoneticPr fontId="4"/>
  </si>
  <si>
    <t>〔役職〕</t>
    <rPh sb="1" eb="3">
      <t>ヤクショク</t>
    </rPh>
    <phoneticPr fontId="6"/>
  </si>
  <si>
    <t>一般</t>
    <rPh sb="0" eb="2">
      <t>イッパン</t>
    </rPh>
    <phoneticPr fontId="6"/>
  </si>
  <si>
    <t>主任</t>
    <rPh sb="0" eb="2">
      <t>シュニン</t>
    </rPh>
    <phoneticPr fontId="6"/>
  </si>
  <si>
    <t>課長</t>
    <rPh sb="0" eb="2">
      <t>カチョウ</t>
    </rPh>
    <phoneticPr fontId="6"/>
  </si>
  <si>
    <t>〔３６協定内容〕</t>
    <rPh sb="3" eb="5">
      <t>キョウテイ</t>
    </rPh>
    <rPh sb="5" eb="7">
      <t>ナイヨウ</t>
    </rPh>
    <phoneticPr fontId="6"/>
  </si>
  <si>
    <t>日平均残業</t>
    <rPh sb="0" eb="1">
      <t>ヒ</t>
    </rPh>
    <rPh sb="1" eb="3">
      <t>ヘイキン</t>
    </rPh>
    <rPh sb="3" eb="5">
      <t>ザンギョウ</t>
    </rPh>
    <phoneticPr fontId="25"/>
  </si>
  <si>
    <t>根拠</t>
    <rPh sb="0" eb="2">
      <t>コンキョ</t>
    </rPh>
    <phoneticPr fontId="25"/>
  </si>
  <si>
    <t>月平均日数</t>
    <rPh sb="0" eb="1">
      <t>ツキ</t>
    </rPh>
    <rPh sb="1" eb="3">
      <t>ヘイキン</t>
    </rPh>
    <rPh sb="3" eb="5">
      <t>ニッスウ</t>
    </rPh>
    <phoneticPr fontId="6"/>
  </si>
  <si>
    <t>月平均残業</t>
    <rPh sb="0" eb="1">
      <t>ツキ</t>
    </rPh>
    <phoneticPr fontId="25"/>
  </si>
  <si>
    <t>日最大</t>
    <rPh sb="0" eb="1">
      <t>ヒ</t>
    </rPh>
    <rPh sb="1" eb="3">
      <t>サイダイ</t>
    </rPh>
    <phoneticPr fontId="25"/>
  </si>
  <si>
    <t>月最大</t>
    <rPh sb="0" eb="1">
      <t>ツキ</t>
    </rPh>
    <phoneticPr fontId="25"/>
  </si>
  <si>
    <t>年最大</t>
    <rPh sb="0" eb="1">
      <t>ネン</t>
    </rPh>
    <phoneticPr fontId="25"/>
  </si>
  <si>
    <t>年６回最大</t>
    <rPh sb="0" eb="1">
      <t>ネン</t>
    </rPh>
    <rPh sb="2" eb="3">
      <t>カイ</t>
    </rPh>
    <rPh sb="3" eb="5">
      <t>サイダイ</t>
    </rPh>
    <phoneticPr fontId="25"/>
  </si>
  <si>
    <t>評価率</t>
    <rPh sb="0" eb="2">
      <t>ヒョウカ</t>
    </rPh>
    <rPh sb="2" eb="3">
      <t>リツ</t>
    </rPh>
    <phoneticPr fontId="6"/>
  </si>
  <si>
    <t>休日累計</t>
    <rPh sb="0" eb="2">
      <t>キュウジツ</t>
    </rPh>
    <rPh sb="2" eb="4">
      <t>ルイケイ</t>
    </rPh>
    <phoneticPr fontId="4"/>
  </si>
  <si>
    <t>休日残業</t>
    <rPh sb="0" eb="2">
      <t>キュウジツ</t>
    </rPh>
    <rPh sb="2" eb="4">
      <t>ザンギョウ</t>
    </rPh>
    <phoneticPr fontId="4"/>
  </si>
  <si>
    <t>振休日数</t>
    <rPh sb="0" eb="1">
      <t>フ</t>
    </rPh>
    <rPh sb="1" eb="2">
      <t>キュウ</t>
    </rPh>
    <rPh sb="2" eb="4">
      <t>ニッスウ</t>
    </rPh>
    <phoneticPr fontId="4"/>
  </si>
  <si>
    <t>平日残業</t>
    <rPh sb="0" eb="2">
      <t>ヘイジツ</t>
    </rPh>
    <rPh sb="2" eb="4">
      <t>ザンギョウ</t>
    </rPh>
    <phoneticPr fontId="4"/>
  </si>
  <si>
    <t>繁忙期申請：</t>
    <rPh sb="0" eb="2">
      <t>ハンボウ</t>
    </rPh>
    <rPh sb="2" eb="3">
      <t>キ</t>
    </rPh>
    <rPh sb="3" eb="5">
      <t>シンセイ</t>
    </rPh>
    <phoneticPr fontId="6"/>
  </si>
  <si>
    <t>〔申請有無〕</t>
    <rPh sb="1" eb="3">
      <t>シンセイ</t>
    </rPh>
    <rPh sb="3" eb="5">
      <t>ウム</t>
    </rPh>
    <phoneticPr fontId="6"/>
  </si>
  <si>
    <t>有</t>
    <rPh sb="0" eb="1">
      <t>ア</t>
    </rPh>
    <phoneticPr fontId="6"/>
  </si>
  <si>
    <t>無</t>
    <rPh sb="0" eb="1">
      <t>ナ</t>
    </rPh>
    <phoneticPr fontId="6"/>
  </si>
  <si>
    <t>１回目</t>
    <rPh sb="1" eb="3">
      <t>カイメ</t>
    </rPh>
    <phoneticPr fontId="6"/>
  </si>
  <si>
    <t>２回目</t>
    <phoneticPr fontId="6"/>
  </si>
  <si>
    <t>３回目</t>
    <phoneticPr fontId="6"/>
  </si>
  <si>
    <t>４回目</t>
    <phoneticPr fontId="6"/>
  </si>
  <si>
    <t>５回目</t>
    <phoneticPr fontId="6"/>
  </si>
  <si>
    <t>６回目</t>
    <phoneticPr fontId="6"/>
  </si>
  <si>
    <t>申請回数　：</t>
    <rPh sb="0" eb="2">
      <t>シンセイ</t>
    </rPh>
    <rPh sb="2" eb="4">
      <t>カイスウ</t>
    </rPh>
    <phoneticPr fontId="6"/>
  </si>
  <si>
    <t>一般</t>
  </si>
  <si>
    <t>残業累計</t>
    <rPh sb="0" eb="2">
      <t>ザンギョウ</t>
    </rPh>
    <rPh sb="2" eb="4">
      <t>ルイケイ</t>
    </rPh>
    <phoneticPr fontId="4"/>
  </si>
  <si>
    <t>火</t>
  </si>
  <si>
    <t>木</t>
  </si>
  <si>
    <t>金</t>
  </si>
  <si>
    <t>法定休日である勤務の割増賃金のみ（時間外の勤務時間を含み０．３５）を精算</t>
  </si>
  <si>
    <t>勤務時間が６時間を越えると４５分の休憩</t>
  </si>
  <si>
    <t>勤務時間が８時間を越えると６０分の休憩</t>
  </si>
  <si>
    <t>(祝日）</t>
    <rPh sb="1" eb="3">
      <t>シュクジツ</t>
    </rPh>
    <phoneticPr fontId="25"/>
  </si>
  <si>
    <t>(日)</t>
    <rPh sb="1" eb="2">
      <t>ヒ</t>
    </rPh>
    <phoneticPr fontId="25"/>
  </si>
  <si>
    <t>月</t>
    <rPh sb="0" eb="1">
      <t>ツキ</t>
    </rPh>
    <phoneticPr fontId="25"/>
  </si>
  <si>
    <t>(水)</t>
    <phoneticPr fontId="25"/>
  </si>
  <si>
    <t>(土)</t>
    <phoneticPr fontId="25"/>
  </si>
  <si>
    <t>1H</t>
    <phoneticPr fontId="25"/>
  </si>
  <si>
    <t>2H</t>
    <phoneticPr fontId="25"/>
  </si>
  <si>
    <t>3H</t>
    <phoneticPr fontId="25"/>
  </si>
  <si>
    <t>4H</t>
    <phoneticPr fontId="25"/>
  </si>
  <si>
    <t>5H</t>
    <phoneticPr fontId="25"/>
  </si>
  <si>
    <t>6H</t>
    <phoneticPr fontId="25"/>
  </si>
  <si>
    <t>7H</t>
    <phoneticPr fontId="25"/>
  </si>
  <si>
    <t>8H</t>
    <phoneticPr fontId="25"/>
  </si>
  <si>
    <t>9H</t>
    <phoneticPr fontId="25"/>
  </si>
  <si>
    <t>10H</t>
    <phoneticPr fontId="25"/>
  </si>
  <si>
    <t>※</t>
    <phoneticPr fontId="25"/>
  </si>
  <si>
    <t>時間外評価の対象となる部分について</t>
    <rPh sb="0" eb="3">
      <t>ジカンガイ</t>
    </rPh>
    <rPh sb="3" eb="5">
      <t>ヒョウカ</t>
    </rPh>
    <rPh sb="6" eb="8">
      <t>タイショウ</t>
    </rPh>
    <rPh sb="11" eb="13">
      <t>ブブン</t>
    </rPh>
    <phoneticPr fontId="25"/>
  </si>
  <si>
    <t>割増賃金の概念（例１）法定休日がとれていない場合</t>
    <rPh sb="0" eb="2">
      <t>ワリマシ</t>
    </rPh>
    <rPh sb="2" eb="4">
      <t>チンギン</t>
    </rPh>
    <rPh sb="5" eb="7">
      <t>ガイネン</t>
    </rPh>
    <rPh sb="8" eb="9">
      <t>レイ</t>
    </rPh>
    <rPh sb="11" eb="12">
      <t>ホウ</t>
    </rPh>
    <rPh sb="12" eb="13">
      <t>テイ</t>
    </rPh>
    <rPh sb="13" eb="15">
      <t>キュウジツ</t>
    </rPh>
    <rPh sb="22" eb="24">
      <t>バアイ</t>
    </rPh>
    <phoneticPr fontId="25"/>
  </si>
  <si>
    <t>割増賃金の概念（例２）法定休日がとれている場合</t>
    <rPh sb="0" eb="2">
      <t>ワリマシ</t>
    </rPh>
    <rPh sb="2" eb="4">
      <t>チンギン</t>
    </rPh>
    <rPh sb="5" eb="7">
      <t>ガイネン</t>
    </rPh>
    <rPh sb="8" eb="9">
      <t>レイ</t>
    </rPh>
    <rPh sb="11" eb="12">
      <t>ホウ</t>
    </rPh>
    <rPh sb="12" eb="13">
      <t>テイ</t>
    </rPh>
    <rPh sb="13" eb="15">
      <t>キュウジツ</t>
    </rPh>
    <rPh sb="21" eb="23">
      <t>バアイ</t>
    </rPh>
    <phoneticPr fontId="25"/>
  </si>
  <si>
    <t>割増賃金の概念（例３）法定休日がとれており、それ以外に８Ｈ未満の休日出勤がある場合</t>
    <rPh sb="0" eb="2">
      <t>ワリマシ</t>
    </rPh>
    <rPh sb="2" eb="4">
      <t>チンギン</t>
    </rPh>
    <rPh sb="5" eb="7">
      <t>ガイネン</t>
    </rPh>
    <rPh sb="8" eb="9">
      <t>レイ</t>
    </rPh>
    <rPh sb="11" eb="12">
      <t>ホウ</t>
    </rPh>
    <rPh sb="12" eb="13">
      <t>テイ</t>
    </rPh>
    <rPh sb="13" eb="15">
      <t>キュウジツ</t>
    </rPh>
    <rPh sb="24" eb="26">
      <t>イガイ</t>
    </rPh>
    <rPh sb="29" eb="31">
      <t>ミマン</t>
    </rPh>
    <rPh sb="32" eb="34">
      <t>キュウジツ</t>
    </rPh>
    <rPh sb="34" eb="36">
      <t>シュッキン</t>
    </rPh>
    <rPh sb="39" eb="41">
      <t>バアイ</t>
    </rPh>
    <phoneticPr fontId="25"/>
  </si>
  <si>
    <t>割増賃金の概念（例４）法定休日がとれており、それ以外に８Ｈ未満の休日出勤が複数ある場合</t>
    <rPh sb="0" eb="2">
      <t>ワリマシ</t>
    </rPh>
    <rPh sb="2" eb="4">
      <t>チンギン</t>
    </rPh>
    <rPh sb="5" eb="7">
      <t>ガイネン</t>
    </rPh>
    <rPh sb="8" eb="9">
      <t>レイ</t>
    </rPh>
    <rPh sb="11" eb="12">
      <t>ホウ</t>
    </rPh>
    <rPh sb="12" eb="13">
      <t>テイ</t>
    </rPh>
    <rPh sb="13" eb="15">
      <t>キュウジツ</t>
    </rPh>
    <rPh sb="24" eb="26">
      <t>イガイ</t>
    </rPh>
    <rPh sb="29" eb="31">
      <t>ミマン</t>
    </rPh>
    <rPh sb="32" eb="34">
      <t>キュウジツ</t>
    </rPh>
    <rPh sb="34" eb="36">
      <t>シュッキン</t>
    </rPh>
    <rPh sb="37" eb="39">
      <t>フクスウ</t>
    </rPh>
    <rPh sb="41" eb="43">
      <t>バアイ</t>
    </rPh>
    <phoneticPr fontId="25"/>
  </si>
  <si>
    <t>割増賃金の概念（例５）法定休日がとれておらず、それ以外に８Ｈ未満の休日出勤が複数ある場合</t>
    <rPh sb="0" eb="2">
      <t>ワリマシ</t>
    </rPh>
    <rPh sb="2" eb="4">
      <t>チンギン</t>
    </rPh>
    <rPh sb="5" eb="7">
      <t>ガイネン</t>
    </rPh>
    <rPh sb="8" eb="9">
      <t>レイ</t>
    </rPh>
    <rPh sb="11" eb="12">
      <t>ホウ</t>
    </rPh>
    <rPh sb="12" eb="13">
      <t>テイ</t>
    </rPh>
    <rPh sb="13" eb="15">
      <t>キュウジツ</t>
    </rPh>
    <rPh sb="25" eb="27">
      <t>イガイ</t>
    </rPh>
    <rPh sb="30" eb="32">
      <t>ミマン</t>
    </rPh>
    <rPh sb="33" eb="35">
      <t>キュウジツ</t>
    </rPh>
    <rPh sb="35" eb="37">
      <t>シュッキン</t>
    </rPh>
    <rPh sb="38" eb="40">
      <t>フクスウ</t>
    </rPh>
    <rPh sb="42" eb="44">
      <t>バアイ</t>
    </rPh>
    <phoneticPr fontId="25"/>
  </si>
  <si>
    <t>【当該月の時間外判定】</t>
    <rPh sb="1" eb="3">
      <t>トウガイ</t>
    </rPh>
    <rPh sb="3" eb="4">
      <t>ヅキ</t>
    </rPh>
    <rPh sb="5" eb="8">
      <t>ジカンガイ</t>
    </rPh>
    <rPh sb="8" eb="10">
      <t>ハンテイ</t>
    </rPh>
    <phoneticPr fontId="25"/>
  </si>
  <si>
    <t>８Ｈを超える部分のみ平日時間外評価にて清算する</t>
    <rPh sb="3" eb="4">
      <t>コ</t>
    </rPh>
    <rPh sb="6" eb="8">
      <t>ブブン</t>
    </rPh>
    <rPh sb="10" eb="12">
      <t>ヘイジツ</t>
    </rPh>
    <rPh sb="12" eb="15">
      <t>ジカンガイ</t>
    </rPh>
    <rPh sb="15" eb="17">
      <t>ヒョウカ</t>
    </rPh>
    <rPh sb="19" eb="21">
      <t>セイサン</t>
    </rPh>
    <phoneticPr fontId="25"/>
  </si>
  <si>
    <t>(土)’</t>
    <phoneticPr fontId="25"/>
  </si>
  <si>
    <t>振休</t>
    <rPh sb="0" eb="1">
      <t>フ</t>
    </rPh>
    <rPh sb="1" eb="2">
      <t>キュウ</t>
    </rPh>
    <phoneticPr fontId="25"/>
  </si>
  <si>
    <t>1H</t>
    <phoneticPr fontId="25"/>
  </si>
  <si>
    <t>休み</t>
    <rPh sb="0" eb="1">
      <t>ヤス</t>
    </rPh>
    <phoneticPr fontId="25"/>
  </si>
  <si>
    <t>2H</t>
    <phoneticPr fontId="25"/>
  </si>
  <si>
    <t>3H</t>
    <phoneticPr fontId="25"/>
  </si>
  <si>
    <t>4H</t>
    <phoneticPr fontId="25"/>
  </si>
  <si>
    <t>5H</t>
    <phoneticPr fontId="25"/>
  </si>
  <si>
    <t>5H</t>
    <phoneticPr fontId="25"/>
  </si>
  <si>
    <t>6H</t>
    <phoneticPr fontId="25"/>
  </si>
  <si>
    <t>7H</t>
    <phoneticPr fontId="25"/>
  </si>
  <si>
    <t>8H</t>
    <phoneticPr fontId="25"/>
  </si>
  <si>
    <t>9H</t>
    <phoneticPr fontId="25"/>
  </si>
  <si>
    <t>10H</t>
    <phoneticPr fontId="25"/>
  </si>
  <si>
    <t>【翌々月の時間外判定】</t>
    <rPh sb="1" eb="3">
      <t>ヨクヨク</t>
    </rPh>
    <rPh sb="3" eb="4">
      <t>ヅキ</t>
    </rPh>
    <rPh sb="5" eb="8">
      <t>ジカンガイ</t>
    </rPh>
    <rPh sb="8" eb="10">
      <t>ハンテイ</t>
    </rPh>
    <phoneticPr fontId="25"/>
  </si>
  <si>
    <t>法定休日および所定労働時間外の割増部分を清算する</t>
    <rPh sb="0" eb="1">
      <t>ホウ</t>
    </rPh>
    <rPh sb="1" eb="2">
      <t>テイ</t>
    </rPh>
    <rPh sb="2" eb="4">
      <t>キュウジツ</t>
    </rPh>
    <rPh sb="7" eb="9">
      <t>ショテイ</t>
    </rPh>
    <rPh sb="9" eb="11">
      <t>ロウドウ</t>
    </rPh>
    <rPh sb="11" eb="13">
      <t>ジカン</t>
    </rPh>
    <rPh sb="13" eb="14">
      <t>ガイ</t>
    </rPh>
    <rPh sb="15" eb="17">
      <t>ワリマシ</t>
    </rPh>
    <rPh sb="17" eb="19">
      <t>ブブン</t>
    </rPh>
    <rPh sb="20" eb="22">
      <t>セイサン</t>
    </rPh>
    <phoneticPr fontId="25"/>
  </si>
  <si>
    <t>0.35
（代休）</t>
    <rPh sb="6" eb="8">
      <t>ダイキュウ</t>
    </rPh>
    <phoneticPr fontId="25"/>
  </si>
  <si>
    <t>0.25
（代休）</t>
    <rPh sb="6" eb="8">
      <t>ダイキュウ</t>
    </rPh>
    <phoneticPr fontId="25"/>
  </si>
  <si>
    <t>1H</t>
    <phoneticPr fontId="25"/>
  </si>
  <si>
    <t>清算済</t>
    <rPh sb="0" eb="2">
      <t>セイサン</t>
    </rPh>
    <rPh sb="2" eb="3">
      <t>スミ</t>
    </rPh>
    <phoneticPr fontId="25"/>
  </si>
  <si>
    <t>2H</t>
    <phoneticPr fontId="25"/>
  </si>
  <si>
    <t>3H</t>
    <phoneticPr fontId="25"/>
  </si>
  <si>
    <t>4H</t>
    <phoneticPr fontId="25"/>
  </si>
  <si>
    <t>5H</t>
    <phoneticPr fontId="25"/>
  </si>
  <si>
    <t>【半年後の時間外判定】</t>
    <rPh sb="1" eb="4">
      <t>ハントシゴ</t>
    </rPh>
    <rPh sb="5" eb="8">
      <t>ジカンガイ</t>
    </rPh>
    <rPh sb="8" eb="10">
      <t>ハンテイ</t>
    </rPh>
    <phoneticPr fontId="25"/>
  </si>
  <si>
    <t>所定労働時間外の８Ｈ部分を清算する</t>
    <rPh sb="0" eb="2">
      <t>ショテイ</t>
    </rPh>
    <rPh sb="2" eb="4">
      <t>ロウドウ</t>
    </rPh>
    <rPh sb="4" eb="6">
      <t>ジカン</t>
    </rPh>
    <rPh sb="6" eb="7">
      <t>ガイ</t>
    </rPh>
    <rPh sb="10" eb="12">
      <t>ブブン</t>
    </rPh>
    <rPh sb="13" eb="15">
      <t>セイサン</t>
    </rPh>
    <phoneticPr fontId="25"/>
  </si>
  <si>
    <t>1.00
（消滅）</t>
    <rPh sb="6" eb="8">
      <t>ショウメツ</t>
    </rPh>
    <phoneticPr fontId="25"/>
  </si>
  <si>
    <t>〔経緯〕</t>
    <rPh sb="1" eb="3">
      <t>ケイイ</t>
    </rPh>
    <phoneticPr fontId="25"/>
  </si>
  <si>
    <t>全社員を対象とした「専門業務型裁量労働制」の導入を検討したが、現状において改善の余地がまだあることから、今回は導入を見送った。</t>
    <rPh sb="0" eb="1">
      <t>ゼン</t>
    </rPh>
    <rPh sb="1" eb="3">
      <t>シャイン</t>
    </rPh>
    <rPh sb="4" eb="6">
      <t>タイショウ</t>
    </rPh>
    <rPh sb="22" eb="24">
      <t>ドウニュウ</t>
    </rPh>
    <rPh sb="25" eb="27">
      <t>ケントウ</t>
    </rPh>
    <rPh sb="31" eb="33">
      <t>ゲンジョウ</t>
    </rPh>
    <rPh sb="37" eb="39">
      <t>カイゼン</t>
    </rPh>
    <rPh sb="40" eb="42">
      <t>ヨチ</t>
    </rPh>
    <phoneticPr fontId="25"/>
  </si>
  <si>
    <t>尚、職種柄、システム開発という専門業務であることには変わりないことから、日頃の作業にあたっては各自の裁量に委ねるところは多い。</t>
    <rPh sb="0" eb="1">
      <t>ナオ</t>
    </rPh>
    <rPh sb="2" eb="4">
      <t>ショクシュ</t>
    </rPh>
    <rPh sb="4" eb="5">
      <t>ガラ</t>
    </rPh>
    <rPh sb="10" eb="12">
      <t>カイハツ</t>
    </rPh>
    <rPh sb="15" eb="17">
      <t>センモン</t>
    </rPh>
    <rPh sb="17" eb="19">
      <t>ギョウム</t>
    </rPh>
    <rPh sb="26" eb="27">
      <t>カ</t>
    </rPh>
    <rPh sb="36" eb="38">
      <t>ヒゴロ</t>
    </rPh>
    <rPh sb="39" eb="41">
      <t>サギョウ</t>
    </rPh>
    <rPh sb="47" eb="49">
      <t>カクジ</t>
    </rPh>
    <rPh sb="50" eb="52">
      <t>サイリョウ</t>
    </rPh>
    <rPh sb="53" eb="54">
      <t>ユダ</t>
    </rPh>
    <rPh sb="60" eb="61">
      <t>オオ</t>
    </rPh>
    <phoneticPr fontId="25"/>
  </si>
  <si>
    <t>〔新時間外評価〕</t>
    <rPh sb="1" eb="2">
      <t>シン</t>
    </rPh>
    <rPh sb="2" eb="5">
      <t>ジカンガイ</t>
    </rPh>
    <rPh sb="5" eb="7">
      <t>ヒョウカ</t>
    </rPh>
    <phoneticPr fontId="25"/>
  </si>
  <si>
    <t>３６協定内容</t>
    <rPh sb="2" eb="4">
      <t>キョウテイ</t>
    </rPh>
    <rPh sb="4" eb="6">
      <t>ナイヨウ</t>
    </rPh>
    <phoneticPr fontId="25"/>
  </si>
  <si>
    <t>日</t>
    <rPh sb="0" eb="1">
      <t>ヒ</t>
    </rPh>
    <phoneticPr fontId="25"/>
  </si>
  <si>
    <t>年</t>
    <rPh sb="0" eb="1">
      <t>ネン</t>
    </rPh>
    <phoneticPr fontId="25"/>
  </si>
  <si>
    <t>月平均残業</t>
    <rPh sb="0" eb="1">
      <t>ツキ</t>
    </rPh>
    <rPh sb="3" eb="5">
      <t>ザンギョウ</t>
    </rPh>
    <phoneticPr fontId="25"/>
  </si>
  <si>
    <t>年６回まで最大</t>
    <rPh sb="0" eb="1">
      <t>ネン</t>
    </rPh>
    <rPh sb="2" eb="3">
      <t>カイ</t>
    </rPh>
    <rPh sb="5" eb="7">
      <t>サイダイ</t>
    </rPh>
    <phoneticPr fontId="25"/>
  </si>
  <si>
    <t>←月平均日数</t>
    <rPh sb="1" eb="2">
      <t>ツキ</t>
    </rPh>
    <rPh sb="2" eb="4">
      <t>ヘイキン</t>
    </rPh>
    <rPh sb="4" eb="6">
      <t>ニッスウ</t>
    </rPh>
    <phoneticPr fontId="25"/>
  </si>
  <si>
    <t>時間外手当</t>
    <rPh sb="0" eb="3">
      <t>ジカンガイ</t>
    </rPh>
    <rPh sb="3" eb="5">
      <t>テアテ</t>
    </rPh>
    <phoneticPr fontId="25"/>
  </si>
  <si>
    <t>通常時間外として以下のとおり評価する。</t>
    <rPh sb="0" eb="2">
      <t>ツウジョウ</t>
    </rPh>
    <rPh sb="2" eb="5">
      <t>ジカンガイ</t>
    </rPh>
    <rPh sb="8" eb="10">
      <t>イカ</t>
    </rPh>
    <rPh sb="14" eb="16">
      <t>ヒョウカ</t>
    </rPh>
    <phoneticPr fontId="25"/>
  </si>
  <si>
    <t>一般職</t>
    <rPh sb="0" eb="2">
      <t>イッパン</t>
    </rPh>
    <rPh sb="2" eb="3">
      <t>ショク</t>
    </rPh>
    <phoneticPr fontId="25"/>
  </si>
  <si>
    <t>３６協定における通常月最大時間（４５Ｈ）までについては時間単価の１．２５を時間外賃金を支払う。</t>
    <phoneticPr fontId="25"/>
  </si>
  <si>
    <t>主任職</t>
    <rPh sb="0" eb="2">
      <t>シュニン</t>
    </rPh>
    <rPh sb="2" eb="3">
      <t>ショク</t>
    </rPh>
    <phoneticPr fontId="25"/>
  </si>
  <si>
    <t>一般職と同じ</t>
    <rPh sb="0" eb="2">
      <t>イッパン</t>
    </rPh>
    <rPh sb="2" eb="3">
      <t>ショク</t>
    </rPh>
    <rPh sb="4" eb="5">
      <t>オナ</t>
    </rPh>
    <phoneticPr fontId="25"/>
  </si>
  <si>
    <t>課長職</t>
    <rPh sb="0" eb="2">
      <t>カチョウ</t>
    </rPh>
    <rPh sb="2" eb="3">
      <t>ショク</t>
    </rPh>
    <phoneticPr fontId="25"/>
  </si>
  <si>
    <t>管理職的な位置付けにあり、作業に関わる進め方と責任を役職手当として支給していることから</t>
    <rPh sb="0" eb="2">
      <t>カンリ</t>
    </rPh>
    <rPh sb="2" eb="3">
      <t>ショク</t>
    </rPh>
    <rPh sb="3" eb="4">
      <t>テキ</t>
    </rPh>
    <rPh sb="5" eb="8">
      <t>イチヅ</t>
    </rPh>
    <rPh sb="13" eb="15">
      <t>サギョウ</t>
    </rPh>
    <rPh sb="16" eb="17">
      <t>カカ</t>
    </rPh>
    <rPh sb="19" eb="20">
      <t>スス</t>
    </rPh>
    <rPh sb="21" eb="22">
      <t>カタ</t>
    </rPh>
    <rPh sb="23" eb="25">
      <t>セキニン</t>
    </rPh>
    <rPh sb="26" eb="28">
      <t>ヤクショク</t>
    </rPh>
    <rPh sb="28" eb="30">
      <t>テアテ</t>
    </rPh>
    <rPh sb="33" eb="35">
      <t>シキュウ</t>
    </rPh>
    <phoneticPr fontId="25"/>
  </si>
  <si>
    <r>
      <t>３６協定における通常月最大時間（４５Ｈ）までについては時間外評価はしない</t>
    </r>
    <r>
      <rPr>
        <b/>
        <sz val="10"/>
        <color indexed="10"/>
        <rFont val="ＭＳ Ｐゴシック"/>
        <family val="3"/>
        <charset val="128"/>
      </rPr>
      <t>（準裁量労働）</t>
    </r>
    <r>
      <rPr>
        <sz val="10"/>
        <rFont val="ＭＳ Ｐゴシック"/>
        <family val="3"/>
        <charset val="128"/>
      </rPr>
      <t>。</t>
    </r>
    <rPh sb="30" eb="32">
      <t>ヒョウカ</t>
    </rPh>
    <rPh sb="37" eb="38">
      <t>ジュン</t>
    </rPh>
    <rPh sb="38" eb="40">
      <t>サイリョウ</t>
    </rPh>
    <rPh sb="40" eb="42">
      <t>ロウドウ</t>
    </rPh>
    <phoneticPr fontId="25"/>
  </si>
  <si>
    <t>月４５Hの１２ヶ月で５４０Hとなるが、３６協定における年間最大時間（３６０Ｈ）を超えないように努めること。</t>
    <rPh sb="0" eb="1">
      <t>ツキ</t>
    </rPh>
    <rPh sb="8" eb="9">
      <t>ゲツ</t>
    </rPh>
    <rPh sb="40" eb="41">
      <t>コ</t>
    </rPh>
    <rPh sb="47" eb="48">
      <t>ツト</t>
    </rPh>
    <phoneticPr fontId="25"/>
  </si>
  <si>
    <t>残業時間年間累計は４月より翌３月の年度単位とする。</t>
    <phoneticPr fontId="25"/>
  </si>
  <si>
    <t>〔繁忙期の扱い〕</t>
    <rPh sb="1" eb="3">
      <t>ハンボウ</t>
    </rPh>
    <rPh sb="3" eb="4">
      <t>キ</t>
    </rPh>
    <rPh sb="5" eb="6">
      <t>アツカ</t>
    </rPh>
    <phoneticPr fontId="25"/>
  </si>
  <si>
    <t>月４５Ｈを越える部分について１ヶ月あたり３６協定における月最大時間を上限として以下のとおり評価する。</t>
    <rPh sb="0" eb="1">
      <t>ツキ</t>
    </rPh>
    <rPh sb="5" eb="6">
      <t>コ</t>
    </rPh>
    <rPh sb="8" eb="10">
      <t>ブブン</t>
    </rPh>
    <rPh sb="39" eb="41">
      <t>イカ</t>
    </rPh>
    <rPh sb="45" eb="47">
      <t>ヒョウカ</t>
    </rPh>
    <phoneticPr fontId="25"/>
  </si>
  <si>
    <t>上限時間</t>
    <rPh sb="0" eb="2">
      <t>ジョウゲン</t>
    </rPh>
    <rPh sb="2" eb="4">
      <t>ジカン</t>
    </rPh>
    <phoneticPr fontId="25"/>
  </si>
  <si>
    <t>←役職手当を支給していることもあるため</t>
    <rPh sb="1" eb="3">
      <t>ヤクショク</t>
    </rPh>
    <rPh sb="3" eb="5">
      <t>テアテ</t>
    </rPh>
    <rPh sb="6" eb="8">
      <t>シキュウ</t>
    </rPh>
    <phoneticPr fontId="25"/>
  </si>
  <si>
    <t>尚、この評価時間においては拘束力が弱く、また残業疲労による生産性・品質の低下が伴う可能性があることから</t>
    <rPh sb="0" eb="1">
      <t>ナオ</t>
    </rPh>
    <rPh sb="4" eb="6">
      <t>ヒョウカ</t>
    </rPh>
    <rPh sb="6" eb="8">
      <t>ジカン</t>
    </rPh>
    <rPh sb="13" eb="16">
      <t>コウソクリョク</t>
    </rPh>
    <rPh sb="17" eb="18">
      <t>ヨワ</t>
    </rPh>
    <rPh sb="22" eb="24">
      <t>ザンギョウ</t>
    </rPh>
    <rPh sb="24" eb="26">
      <t>ヒロウ</t>
    </rPh>
    <rPh sb="29" eb="32">
      <t>セイサンセイ</t>
    </rPh>
    <rPh sb="33" eb="35">
      <t>ヒンシツ</t>
    </rPh>
    <rPh sb="36" eb="38">
      <t>テイカ</t>
    </rPh>
    <rPh sb="39" eb="40">
      <t>トモナ</t>
    </rPh>
    <rPh sb="41" eb="44">
      <t>カノウセイ</t>
    </rPh>
    <phoneticPr fontId="25"/>
  </si>
  <si>
    <t>評価率を</t>
    <rPh sb="0" eb="2">
      <t>ヒョウカ</t>
    </rPh>
    <rPh sb="2" eb="3">
      <t>リツ</t>
    </rPh>
    <phoneticPr fontId="25"/>
  </si>
  <si>
    <t>とする</t>
    <phoneticPr fontId="25"/>
  </si>
  <si>
    <t>３０分単位</t>
    <rPh sb="2" eb="3">
      <t>ブン</t>
    </rPh>
    <rPh sb="3" eb="5">
      <t>タンイ</t>
    </rPh>
    <phoneticPr fontId="25"/>
  </si>
  <si>
    <t>評価時間としては</t>
    <rPh sb="0" eb="2">
      <t>ヒョウカ</t>
    </rPh>
    <rPh sb="2" eb="4">
      <t>ジカン</t>
    </rPh>
    <phoneticPr fontId="25"/>
  </si>
  <si>
    <t>→</t>
    <phoneticPr fontId="25"/>
  </si>
  <si>
    <t>申請方式：</t>
    <rPh sb="0" eb="2">
      <t>シンセイ</t>
    </rPh>
    <rPh sb="2" eb="4">
      <t>ホウシキ</t>
    </rPh>
    <phoneticPr fontId="25"/>
  </si>
  <si>
    <r>
      <t>繁忙期の時間外評価は</t>
    </r>
    <r>
      <rPr>
        <b/>
        <sz val="10"/>
        <color indexed="10"/>
        <rFont val="ＭＳ Ｐゴシック"/>
        <family val="3"/>
        <charset val="128"/>
      </rPr>
      <t>申請</t>
    </r>
    <r>
      <rPr>
        <sz val="10"/>
        <rFont val="ＭＳ Ｐゴシック"/>
        <family val="3"/>
        <charset val="128"/>
      </rPr>
      <t>により評価対象とし、</t>
    </r>
    <r>
      <rPr>
        <b/>
        <sz val="10"/>
        <color indexed="10"/>
        <rFont val="ＭＳ Ｐゴシック"/>
        <family val="3"/>
        <charset val="128"/>
      </rPr>
      <t>年６回</t>
    </r>
    <r>
      <rPr>
        <sz val="10"/>
        <rFont val="ＭＳ Ｐゴシック"/>
        <family val="3"/>
        <charset val="128"/>
      </rPr>
      <t>を上限とする。</t>
    </r>
    <rPh sb="0" eb="2">
      <t>ハンボウ</t>
    </rPh>
    <rPh sb="2" eb="3">
      <t>キ</t>
    </rPh>
    <rPh sb="4" eb="7">
      <t>ジカンガイ</t>
    </rPh>
    <rPh sb="7" eb="9">
      <t>ヒョウカ</t>
    </rPh>
    <rPh sb="10" eb="12">
      <t>シンセイ</t>
    </rPh>
    <rPh sb="15" eb="17">
      <t>ヒョウカ</t>
    </rPh>
    <rPh sb="17" eb="19">
      <t>タイショウ</t>
    </rPh>
    <rPh sb="22" eb="23">
      <t>ネン</t>
    </rPh>
    <rPh sb="24" eb="25">
      <t>カイ</t>
    </rPh>
    <rPh sb="26" eb="28">
      <t>ジョウゲン</t>
    </rPh>
    <phoneticPr fontId="25"/>
  </si>
  <si>
    <t>例えば</t>
    <rPh sb="0" eb="1">
      <t>タト</t>
    </rPh>
    <phoneticPr fontId="25"/>
  </si>
  <si>
    <t>残業時間が４６Ｈとなった場合、繁忙期評価対象は１Ｈとなるが、年６回のうち１回を使うことになる。</t>
    <rPh sb="0" eb="2">
      <t>ザンギョウ</t>
    </rPh>
    <rPh sb="2" eb="4">
      <t>ジカン</t>
    </rPh>
    <rPh sb="12" eb="14">
      <t>バアイ</t>
    </rPh>
    <rPh sb="15" eb="17">
      <t>ハンボウ</t>
    </rPh>
    <rPh sb="17" eb="18">
      <t>キ</t>
    </rPh>
    <rPh sb="18" eb="20">
      <t>ヒョウカ</t>
    </rPh>
    <rPh sb="20" eb="22">
      <t>タイショウ</t>
    </rPh>
    <rPh sb="30" eb="31">
      <t>ネン</t>
    </rPh>
    <rPh sb="32" eb="33">
      <t>カイ</t>
    </rPh>
    <rPh sb="37" eb="38">
      <t>カイ</t>
    </rPh>
    <rPh sb="39" eb="40">
      <t>ツカ</t>
    </rPh>
    <phoneticPr fontId="25"/>
  </si>
  <si>
    <t>今後更なる繁忙期が予想される場合は１Ｈのために１回を使うのはもったいないと判断した場合は申請しないことができる。</t>
    <rPh sb="0" eb="2">
      <t>コンゴ</t>
    </rPh>
    <rPh sb="2" eb="3">
      <t>サラ</t>
    </rPh>
    <rPh sb="5" eb="7">
      <t>ハンボウ</t>
    </rPh>
    <rPh sb="7" eb="8">
      <t>キ</t>
    </rPh>
    <rPh sb="9" eb="11">
      <t>ヨソウ</t>
    </rPh>
    <rPh sb="14" eb="16">
      <t>バアイ</t>
    </rPh>
    <rPh sb="24" eb="25">
      <t>カイ</t>
    </rPh>
    <rPh sb="26" eb="27">
      <t>ツカ</t>
    </rPh>
    <rPh sb="37" eb="39">
      <t>ハンダン</t>
    </rPh>
    <rPh sb="41" eb="43">
      <t>バアイ</t>
    </rPh>
    <rPh sb="44" eb="46">
      <t>シンセイ</t>
    </rPh>
    <phoneticPr fontId="25"/>
  </si>
  <si>
    <t>年間をとおりて申請が６回に満たない場合、残回数を翌年に繰り越すことはしない。</t>
    <rPh sb="0" eb="2">
      <t>ネンカン</t>
    </rPh>
    <rPh sb="7" eb="9">
      <t>シンセイ</t>
    </rPh>
    <rPh sb="11" eb="12">
      <t>カイ</t>
    </rPh>
    <rPh sb="13" eb="14">
      <t>ミ</t>
    </rPh>
    <rPh sb="17" eb="19">
      <t>バアイ</t>
    </rPh>
    <rPh sb="20" eb="21">
      <t>ザン</t>
    </rPh>
    <rPh sb="21" eb="23">
      <t>カイスウ</t>
    </rPh>
    <rPh sb="24" eb="26">
      <t>ヨクネン</t>
    </rPh>
    <rPh sb="27" eb="28">
      <t>ク</t>
    </rPh>
    <rPh sb="29" eb="30">
      <t>コ</t>
    </rPh>
    <phoneticPr fontId="25"/>
  </si>
  <si>
    <t>※</t>
    <phoneticPr fontId="25"/>
  </si>
  <si>
    <t>尚、繁忙期の評価については担当者が携わっているプロジェクト契約の内容により、場合によっては繁忙期評価ができない場合がある</t>
    <rPh sb="0" eb="1">
      <t>ナオ</t>
    </rPh>
    <rPh sb="2" eb="4">
      <t>ハンボウ</t>
    </rPh>
    <rPh sb="4" eb="5">
      <t>キ</t>
    </rPh>
    <rPh sb="6" eb="8">
      <t>ヒョウカ</t>
    </rPh>
    <rPh sb="17" eb="18">
      <t>タズサ</t>
    </rPh>
    <rPh sb="29" eb="31">
      <t>ケイヤク</t>
    </rPh>
    <rPh sb="32" eb="34">
      <t>ナイヨウ</t>
    </rPh>
    <rPh sb="38" eb="40">
      <t>バアイ</t>
    </rPh>
    <rPh sb="45" eb="47">
      <t>ハンボウ</t>
    </rPh>
    <rPh sb="47" eb="48">
      <t>キ</t>
    </rPh>
    <rPh sb="48" eb="50">
      <t>ヒョウカ</t>
    </rPh>
    <rPh sb="55" eb="57">
      <t>バアイ</t>
    </rPh>
    <phoneticPr fontId="25"/>
  </si>
  <si>
    <t>・繁忙期を見越した評価が基本単価に含まれていない場合</t>
    <phoneticPr fontId="25"/>
  </si>
  <si>
    <t>・一定時間を超過した場合の超過作業分の評価が行われていない場合</t>
    <rPh sb="1" eb="3">
      <t>イッテイ</t>
    </rPh>
    <rPh sb="3" eb="5">
      <t>ジカン</t>
    </rPh>
    <rPh sb="6" eb="8">
      <t>チョウカ</t>
    </rPh>
    <rPh sb="10" eb="12">
      <t>バアイ</t>
    </rPh>
    <rPh sb="13" eb="15">
      <t>チョウカ</t>
    </rPh>
    <rPh sb="15" eb="17">
      <t>サギョウ</t>
    </rPh>
    <rPh sb="17" eb="18">
      <t>ブン</t>
    </rPh>
    <rPh sb="19" eb="21">
      <t>ヒョウカ</t>
    </rPh>
    <rPh sb="22" eb="23">
      <t>オコナ</t>
    </rPh>
    <rPh sb="29" eb="31">
      <t>バアイ</t>
    </rPh>
    <phoneticPr fontId="25"/>
  </si>
  <si>
    <t>は繁忙期評価はできない</t>
    <rPh sb="1" eb="3">
      <t>ハンボウ</t>
    </rPh>
    <rPh sb="3" eb="4">
      <t>キ</t>
    </rPh>
    <rPh sb="4" eb="6">
      <t>ヒョウカ</t>
    </rPh>
    <phoneticPr fontId="25"/>
  </si>
  <si>
    <t>（各自が携わっているプロジェクト契約内容については、申出により管理者が問い合わせに答える）</t>
    <rPh sb="1" eb="3">
      <t>カクジ</t>
    </rPh>
    <rPh sb="4" eb="5">
      <t>タズサ</t>
    </rPh>
    <rPh sb="16" eb="18">
      <t>ケイヤク</t>
    </rPh>
    <rPh sb="18" eb="20">
      <t>ナイヨウ</t>
    </rPh>
    <rPh sb="26" eb="28">
      <t>モウシデ</t>
    </rPh>
    <rPh sb="31" eb="33">
      <t>カンリ</t>
    </rPh>
    <rPh sb="33" eb="34">
      <t>シャ</t>
    </rPh>
    <rPh sb="35" eb="36">
      <t>ト</t>
    </rPh>
    <rPh sb="37" eb="38">
      <t>ア</t>
    </rPh>
    <rPh sb="41" eb="42">
      <t>コタ</t>
    </rPh>
    <phoneticPr fontId="25"/>
  </si>
  <si>
    <t>深夜手当</t>
    <rPh sb="0" eb="2">
      <t>シンヤ</t>
    </rPh>
    <rPh sb="2" eb="4">
      <t>テア</t>
    </rPh>
    <phoneticPr fontId="25"/>
  </si>
  <si>
    <t>勤務時間が深夜（ｐｍ１０：００－ａｍ５：００）である場合は深夜割増として０．２５の割合で次のとおり支給する。</t>
    <rPh sb="0" eb="2">
      <t>キンム</t>
    </rPh>
    <rPh sb="2" eb="4">
      <t>ジカン</t>
    </rPh>
    <rPh sb="5" eb="7">
      <t>シンヤ</t>
    </rPh>
    <rPh sb="26" eb="28">
      <t>バアイ</t>
    </rPh>
    <rPh sb="29" eb="31">
      <t>シンヤ</t>
    </rPh>
    <rPh sb="31" eb="33">
      <t>ワリマシ</t>
    </rPh>
    <rPh sb="41" eb="43">
      <t>ワリアイ</t>
    </rPh>
    <rPh sb="44" eb="45">
      <t>ツギ</t>
    </rPh>
    <rPh sb="49" eb="51">
      <t>シキュウ</t>
    </rPh>
    <phoneticPr fontId="25"/>
  </si>
  <si>
    <t>・</t>
    <phoneticPr fontId="25"/>
  </si>
  <si>
    <t>シフト勤務等により深夜時間が時間内評価（８Ｈ以内の残業時間にあたらない）の場合は、全ての時間について深夜割増を支給する。</t>
    <rPh sb="3" eb="5">
      <t>キンム</t>
    </rPh>
    <rPh sb="5" eb="6">
      <t>トウ</t>
    </rPh>
    <rPh sb="9" eb="11">
      <t>シンヤ</t>
    </rPh>
    <rPh sb="11" eb="13">
      <t>ジカン</t>
    </rPh>
    <rPh sb="14" eb="16">
      <t>ジカン</t>
    </rPh>
    <rPh sb="16" eb="17">
      <t>ナイ</t>
    </rPh>
    <rPh sb="17" eb="19">
      <t>ヒョウカ</t>
    </rPh>
    <rPh sb="22" eb="24">
      <t>イナイ</t>
    </rPh>
    <rPh sb="25" eb="27">
      <t>ザンギョウ</t>
    </rPh>
    <rPh sb="27" eb="29">
      <t>ジカン</t>
    </rPh>
    <rPh sb="37" eb="39">
      <t>バアイ</t>
    </rPh>
    <rPh sb="41" eb="42">
      <t>スベ</t>
    </rPh>
    <rPh sb="44" eb="46">
      <t>ジカン</t>
    </rPh>
    <rPh sb="50" eb="52">
      <t>シンヤ</t>
    </rPh>
    <rPh sb="52" eb="54">
      <t>ワリマシ</t>
    </rPh>
    <rPh sb="55" eb="57">
      <t>シキュウ</t>
    </rPh>
    <phoneticPr fontId="25"/>
  </si>
  <si>
    <t>時間外評価となる深夜時間においては、繁忙期評価を含め時間外評価の範囲内についてのみ深夜割増を支給する。</t>
    <rPh sb="0" eb="2">
      <t>ジカン</t>
    </rPh>
    <rPh sb="2" eb="3">
      <t>ガイ</t>
    </rPh>
    <rPh sb="3" eb="5">
      <t>ヒョウカ</t>
    </rPh>
    <rPh sb="8" eb="10">
      <t>シンヤ</t>
    </rPh>
    <rPh sb="10" eb="12">
      <t>ジカン</t>
    </rPh>
    <rPh sb="18" eb="20">
      <t>ハンボウ</t>
    </rPh>
    <rPh sb="20" eb="21">
      <t>キ</t>
    </rPh>
    <rPh sb="21" eb="23">
      <t>ヒョウカ</t>
    </rPh>
    <rPh sb="24" eb="25">
      <t>フク</t>
    </rPh>
    <rPh sb="26" eb="29">
      <t>ジカンガイ</t>
    </rPh>
    <rPh sb="29" eb="31">
      <t>ヒョウカ</t>
    </rPh>
    <rPh sb="32" eb="34">
      <t>ハンイ</t>
    </rPh>
    <rPh sb="34" eb="35">
      <t>ナイ</t>
    </rPh>
    <rPh sb="41" eb="43">
      <t>シンヤ</t>
    </rPh>
    <rPh sb="43" eb="45">
      <t>ワリマシ</t>
    </rPh>
    <rPh sb="46" eb="48">
      <t>シキュウ</t>
    </rPh>
    <phoneticPr fontId="25"/>
  </si>
  <si>
    <r>
      <t>尚、繁忙期評価内においては時間評価を時間外手当同様に評価率を</t>
    </r>
    <r>
      <rPr>
        <b/>
        <sz val="10"/>
        <color indexed="10"/>
        <rFont val="ＭＳ Ｐゴシック"/>
        <family val="3"/>
        <charset val="128"/>
      </rPr>
      <t>０．８５</t>
    </r>
    <r>
      <rPr>
        <sz val="10"/>
        <rFont val="ＭＳ Ｐゴシック"/>
        <family val="3"/>
        <charset val="128"/>
      </rPr>
      <t>とする。</t>
    </r>
    <rPh sb="0" eb="1">
      <t>ナオ</t>
    </rPh>
    <rPh sb="2" eb="4">
      <t>ハンボウ</t>
    </rPh>
    <rPh sb="4" eb="5">
      <t>キ</t>
    </rPh>
    <rPh sb="5" eb="7">
      <t>ヒョウカ</t>
    </rPh>
    <rPh sb="7" eb="8">
      <t>ナイ</t>
    </rPh>
    <rPh sb="13" eb="15">
      <t>ジカン</t>
    </rPh>
    <rPh sb="15" eb="17">
      <t>ヒョウカ</t>
    </rPh>
    <rPh sb="18" eb="21">
      <t>ジカンガイ</t>
    </rPh>
    <rPh sb="21" eb="23">
      <t>テアテ</t>
    </rPh>
    <rPh sb="23" eb="25">
      <t>ドウヨウ</t>
    </rPh>
    <rPh sb="26" eb="28">
      <t>ヒョウカ</t>
    </rPh>
    <rPh sb="28" eb="29">
      <t>リツ</t>
    </rPh>
    <phoneticPr fontId="25"/>
  </si>
  <si>
    <t>休日出勤</t>
    <rPh sb="0" eb="2">
      <t>キュウジツ</t>
    </rPh>
    <rPh sb="2" eb="4">
      <t>シュッキン</t>
    </rPh>
    <phoneticPr fontId="25"/>
  </si>
  <si>
    <t>休日出勤時間が８Ｈを超える場合は、振替休日をあたえ、出勤した日は平日とみなす。</t>
    <rPh sb="0" eb="2">
      <t>キュウジツ</t>
    </rPh>
    <rPh sb="2" eb="4">
      <t>シュッキン</t>
    </rPh>
    <rPh sb="4" eb="6">
      <t>ジカン</t>
    </rPh>
    <rPh sb="10" eb="11">
      <t>コ</t>
    </rPh>
    <rPh sb="13" eb="15">
      <t>バアイ</t>
    </rPh>
    <rPh sb="17" eb="19">
      <t>フリカエ</t>
    </rPh>
    <rPh sb="19" eb="21">
      <t>キュウジツ</t>
    </rPh>
    <rPh sb="26" eb="28">
      <t>シュッキン</t>
    </rPh>
    <rPh sb="30" eb="31">
      <t>ヒ</t>
    </rPh>
    <rPh sb="32" eb="34">
      <t>ヘイジツ</t>
    </rPh>
    <phoneticPr fontId="25"/>
  </si>
  <si>
    <t>１日の休日出勤時間が８Ｈ未満のままでも１ヶ月（２１日から翌２０日）の休日出勤時間の合計が８Ｈを超える部分も振替休日扱いとする</t>
    <rPh sb="1" eb="2">
      <t>ヒ</t>
    </rPh>
    <rPh sb="3" eb="5">
      <t>キュウジツ</t>
    </rPh>
    <rPh sb="5" eb="7">
      <t>シュッキン</t>
    </rPh>
    <rPh sb="7" eb="9">
      <t>ジカン</t>
    </rPh>
    <rPh sb="12" eb="14">
      <t>ミマン</t>
    </rPh>
    <rPh sb="21" eb="22">
      <t>ゲツ</t>
    </rPh>
    <rPh sb="25" eb="26">
      <t>ヒ</t>
    </rPh>
    <rPh sb="28" eb="29">
      <t>ヨク</t>
    </rPh>
    <rPh sb="31" eb="32">
      <t>ヒ</t>
    </rPh>
    <rPh sb="34" eb="36">
      <t>キュウジツ</t>
    </rPh>
    <rPh sb="36" eb="38">
      <t>シュッキン</t>
    </rPh>
    <rPh sb="38" eb="40">
      <t>ジカン</t>
    </rPh>
    <rPh sb="41" eb="43">
      <t>ゴウケイ</t>
    </rPh>
    <rPh sb="47" eb="48">
      <t>コ</t>
    </rPh>
    <rPh sb="50" eb="52">
      <t>ブブン</t>
    </rPh>
    <rPh sb="53" eb="55">
      <t>フリカエ</t>
    </rPh>
    <rPh sb="55" eb="57">
      <t>キュウジツ</t>
    </rPh>
    <rPh sb="57" eb="58">
      <t>アツカ</t>
    </rPh>
    <phoneticPr fontId="25"/>
  </si>
  <si>
    <t>５Ｈの休日出勤を２回行った場合は１０Ｈのとなり１日の振替休日扱いとする（２Ｈは平日時間外扱い）</t>
    <rPh sb="3" eb="5">
      <t>キュウジツ</t>
    </rPh>
    <rPh sb="5" eb="7">
      <t>シュッキン</t>
    </rPh>
    <rPh sb="9" eb="10">
      <t>カイ</t>
    </rPh>
    <rPh sb="10" eb="11">
      <t>オコナ</t>
    </rPh>
    <rPh sb="13" eb="15">
      <t>バアイ</t>
    </rPh>
    <rPh sb="24" eb="25">
      <t>ヒ</t>
    </rPh>
    <rPh sb="26" eb="28">
      <t>フリカエ</t>
    </rPh>
    <rPh sb="28" eb="30">
      <t>キュウジツ</t>
    </rPh>
    <rPh sb="30" eb="31">
      <t>アツカ</t>
    </rPh>
    <rPh sb="39" eb="41">
      <t>ヘイジツ</t>
    </rPh>
    <rPh sb="41" eb="44">
      <t>ジカンガイ</t>
    </rPh>
    <rPh sb="44" eb="45">
      <t>アツカ</t>
    </rPh>
    <phoneticPr fontId="25"/>
  </si>
  <si>
    <t>振替休日の日数は８Ｈを超える単位とする</t>
    <rPh sb="0" eb="2">
      <t>フリカエ</t>
    </rPh>
    <rPh sb="2" eb="4">
      <t>キュウジツ</t>
    </rPh>
    <rPh sb="5" eb="7">
      <t>ニッスウ</t>
    </rPh>
    <rPh sb="11" eb="12">
      <t>コ</t>
    </rPh>
    <rPh sb="14" eb="16">
      <t>タンイ</t>
    </rPh>
    <phoneticPr fontId="25"/>
  </si>
  <si>
    <t>よって、５Ｈの休日出勤を３回行った場合は１５Ｈとなるが、２回目で８Ｈを超えるため１日の振替休日扱いとなり、３回目の５Ｈは時間外扱いとなる</t>
    <rPh sb="29" eb="31">
      <t>カイメ</t>
    </rPh>
    <rPh sb="35" eb="36">
      <t>コ</t>
    </rPh>
    <rPh sb="54" eb="56">
      <t>カイメ</t>
    </rPh>
    <rPh sb="60" eb="63">
      <t>ジカンガイ</t>
    </rPh>
    <rPh sb="63" eb="64">
      <t>アツカ</t>
    </rPh>
    <phoneticPr fontId="25"/>
  </si>
  <si>
    <t>尚、客先でのイベントや会社の指示でない日に休日出勤した場合においては３Ｈ未満は認めない。→やるなら３Ｈ以上作業しなさい、２Ｈだけの出勤はなしよ！</t>
    <rPh sb="0" eb="1">
      <t>ナオ</t>
    </rPh>
    <rPh sb="2" eb="4">
      <t>キャクサキ</t>
    </rPh>
    <rPh sb="11" eb="13">
      <t>カイシャ</t>
    </rPh>
    <rPh sb="14" eb="16">
      <t>シジ</t>
    </rPh>
    <rPh sb="19" eb="20">
      <t>ヒ</t>
    </rPh>
    <rPh sb="21" eb="23">
      <t>キュウジツ</t>
    </rPh>
    <rPh sb="23" eb="25">
      <t>シュッキン</t>
    </rPh>
    <rPh sb="27" eb="29">
      <t>バアイ</t>
    </rPh>
    <rPh sb="36" eb="38">
      <t>ミマン</t>
    </rPh>
    <rPh sb="39" eb="40">
      <t>ミト</t>
    </rPh>
    <phoneticPr fontId="25"/>
  </si>
  <si>
    <t>→客先でのイベントや会社の指示の場合は勤務表に明記する</t>
    <rPh sb="13" eb="15">
      <t>シジ</t>
    </rPh>
    <rPh sb="16" eb="18">
      <t>バアイ</t>
    </rPh>
    <rPh sb="19" eb="21">
      <t>キンム</t>
    </rPh>
    <rPh sb="21" eb="22">
      <t>ヒョウ</t>
    </rPh>
    <rPh sb="23" eb="25">
      <t>メイキ</t>
    </rPh>
    <phoneticPr fontId="25"/>
  </si>
  <si>
    <t>また、振替休日は以下の期間内に消化するように努めなければならない。（イベントによる休日出勤ならなおさら．．．．）</t>
    <rPh sb="3" eb="5">
      <t>フリカエ</t>
    </rPh>
    <rPh sb="5" eb="7">
      <t>キュウジツ</t>
    </rPh>
    <rPh sb="8" eb="10">
      <t>イカ</t>
    </rPh>
    <rPh sb="11" eb="14">
      <t>キカンナイ</t>
    </rPh>
    <rPh sb="15" eb="17">
      <t>ショウカ</t>
    </rPh>
    <rPh sb="22" eb="23">
      <t>ツト</t>
    </rPh>
    <rPh sb="41" eb="43">
      <t>キュウジツ</t>
    </rPh>
    <rPh sb="43" eb="45">
      <t>シュッキン</t>
    </rPh>
    <phoneticPr fontId="25"/>
  </si>
  <si>
    <t>休日手当</t>
    <rPh sb="0" eb="2">
      <t>キュウジツ</t>
    </rPh>
    <rPh sb="2" eb="4">
      <t>テア</t>
    </rPh>
    <phoneticPr fontId="25"/>
  </si>
  <si>
    <r>
      <t>休日出勤で、その日が</t>
    </r>
    <r>
      <rPr>
        <b/>
        <sz val="10"/>
        <color indexed="10"/>
        <rFont val="ＭＳ Ｐゴシック"/>
        <family val="3"/>
        <charset val="128"/>
      </rPr>
      <t>法定休日（１週間に１日以上または４週間を通じて４日以上の休日）</t>
    </r>
    <r>
      <rPr>
        <sz val="10"/>
        <rFont val="ＭＳ Ｐゴシック"/>
        <family val="3"/>
        <charset val="128"/>
      </rPr>
      <t>にある場合は、休日割増として１．３５の割合で支給する。</t>
    </r>
    <rPh sb="0" eb="2">
      <t>キュウジツ</t>
    </rPh>
    <rPh sb="2" eb="4">
      <t>シュッキン</t>
    </rPh>
    <rPh sb="8" eb="9">
      <t>ヒ</t>
    </rPh>
    <rPh sb="44" eb="46">
      <t>バアイ</t>
    </rPh>
    <rPh sb="48" eb="50">
      <t>キュウジツ</t>
    </rPh>
    <rPh sb="50" eb="52">
      <t>ワリマシ</t>
    </rPh>
    <rPh sb="60" eb="62">
      <t>ワリアイ</t>
    </rPh>
    <rPh sb="63" eb="65">
      <t>シキュウ</t>
    </rPh>
    <phoneticPr fontId="25"/>
  </si>
  <si>
    <t>法定休日がとれない場合において法定休日の日は日曜日として評価する。</t>
    <rPh sb="0" eb="1">
      <t>ホウ</t>
    </rPh>
    <rPh sb="1" eb="2">
      <t>テイ</t>
    </rPh>
    <rPh sb="2" eb="4">
      <t>キュウジツ</t>
    </rPh>
    <rPh sb="9" eb="11">
      <t>バアイ</t>
    </rPh>
    <rPh sb="15" eb="16">
      <t>ホウ</t>
    </rPh>
    <rPh sb="16" eb="17">
      <t>テイ</t>
    </rPh>
    <rPh sb="17" eb="19">
      <t>キュウジツ</t>
    </rPh>
    <rPh sb="20" eb="21">
      <t>ヒ</t>
    </rPh>
    <rPh sb="22" eb="25">
      <t>ニチヨウビ</t>
    </rPh>
    <rPh sb="28" eb="30">
      <t>ヒョウカ</t>
    </rPh>
    <phoneticPr fontId="25"/>
  </si>
  <si>
    <t>法定休日以外の休日に出勤して、１週４０時間を超える場合は１．２５の割合で時間外手当を支給する。</t>
    <rPh sb="33" eb="35">
      <t>ワリアイ</t>
    </rPh>
    <rPh sb="36" eb="39">
      <t>ジカンガイ</t>
    </rPh>
    <rPh sb="39" eb="41">
      <t>テアテ</t>
    </rPh>
    <rPh sb="42" eb="44">
      <t>シキュウ</t>
    </rPh>
    <phoneticPr fontId="25"/>
  </si>
  <si>
    <t>休日出勤での残業評価は上記の時間外評価の範囲内とする。</t>
    <rPh sb="0" eb="2">
      <t>キュウジツ</t>
    </rPh>
    <rPh sb="2" eb="4">
      <t>シュッキン</t>
    </rPh>
    <rPh sb="6" eb="8">
      <t>ザンギョウ</t>
    </rPh>
    <rPh sb="8" eb="10">
      <t>ヒョウカ</t>
    </rPh>
    <rPh sb="11" eb="13">
      <t>ジョウキ</t>
    </rPh>
    <rPh sb="14" eb="17">
      <t>ジカンガイ</t>
    </rPh>
    <rPh sb="17" eb="19">
      <t>ヒョウカ</t>
    </rPh>
    <rPh sb="20" eb="22">
      <t>ハンイ</t>
    </rPh>
    <rPh sb="22" eb="23">
      <t>ナイ</t>
    </rPh>
    <phoneticPr fontId="25"/>
  </si>
  <si>
    <t>振替休日</t>
    <rPh sb="0" eb="2">
      <t>フリカエ</t>
    </rPh>
    <rPh sb="2" eb="4">
      <t>キュウジツ</t>
    </rPh>
    <phoneticPr fontId="25"/>
  </si>
  <si>
    <t>振替休日は休日出勤した翌々月までに消化しなければならない。（時間外評価が１ヶ月遅れで行っているため）</t>
    <rPh sb="0" eb="2">
      <t>フリカエ</t>
    </rPh>
    <rPh sb="2" eb="4">
      <t>キュウジツ</t>
    </rPh>
    <rPh sb="5" eb="7">
      <t>キュウジツ</t>
    </rPh>
    <rPh sb="7" eb="9">
      <t>シュッキン</t>
    </rPh>
    <rPh sb="11" eb="13">
      <t>ヨクヨク</t>
    </rPh>
    <rPh sb="13" eb="14">
      <t>ゲツ</t>
    </rPh>
    <rPh sb="17" eb="19">
      <t>ショウカ</t>
    </rPh>
    <rPh sb="30" eb="33">
      <t>ジカンガイ</t>
    </rPh>
    <rPh sb="33" eb="35">
      <t>ヒョウカ</t>
    </rPh>
    <rPh sb="38" eb="39">
      <t>ゲツ</t>
    </rPh>
    <rPh sb="39" eb="40">
      <t>オク</t>
    </rPh>
    <rPh sb="42" eb="43">
      <t>オコナ</t>
    </rPh>
    <phoneticPr fontId="25"/>
  </si>
  <si>
    <t>９月度（8/21-9/20)に休日出勤した場合</t>
    <rPh sb="1" eb="2">
      <t>ツキ</t>
    </rPh>
    <rPh sb="2" eb="3">
      <t>ド</t>
    </rPh>
    <rPh sb="15" eb="17">
      <t>キュウジツ</t>
    </rPh>
    <rPh sb="17" eb="19">
      <t>シュッキン</t>
    </rPh>
    <rPh sb="21" eb="23">
      <t>バアイ</t>
    </rPh>
    <phoneticPr fontId="25"/>
  </si>
  <si>
    <t>会社が認識するのは１０月度となるため、その翌月１１月度で休日をとったか否かを判断する。</t>
    <rPh sb="0" eb="2">
      <t>カイシャ</t>
    </rPh>
    <rPh sb="3" eb="5">
      <t>ニンシキ</t>
    </rPh>
    <rPh sb="11" eb="12">
      <t>ツキ</t>
    </rPh>
    <rPh sb="12" eb="13">
      <t>ド</t>
    </rPh>
    <rPh sb="21" eb="23">
      <t>ヨクゲツ</t>
    </rPh>
    <rPh sb="25" eb="26">
      <t>ツキ</t>
    </rPh>
    <rPh sb="26" eb="27">
      <t>ド</t>
    </rPh>
    <rPh sb="28" eb="30">
      <t>キュウジツ</t>
    </rPh>
    <rPh sb="35" eb="36">
      <t>イナ</t>
    </rPh>
    <rPh sb="38" eb="40">
      <t>ハンダン</t>
    </rPh>
    <phoneticPr fontId="25"/>
  </si>
  <si>
    <t>翌々月までに消化できない場合は、</t>
    <rPh sb="0" eb="2">
      <t>ヨクヨク</t>
    </rPh>
    <rPh sb="2" eb="3">
      <t>ゲツ</t>
    </rPh>
    <rPh sb="6" eb="8">
      <t>ショウカ</t>
    </rPh>
    <rPh sb="12" eb="14">
      <t>バアイ</t>
    </rPh>
    <phoneticPr fontId="25"/>
  </si>
  <si>
    <t>法定休日以外の休日勤務で所定労働時間外の割増賃金のみ（８Ｈ分のみの０．２５）を清算</t>
    <rPh sb="9" eb="11">
      <t>キンム</t>
    </rPh>
    <rPh sb="12" eb="14">
      <t>ショテイ</t>
    </rPh>
    <rPh sb="14" eb="16">
      <t>ロウドウ</t>
    </rPh>
    <rPh sb="16" eb="18">
      <t>ジカン</t>
    </rPh>
    <rPh sb="18" eb="19">
      <t>ガイ</t>
    </rPh>
    <rPh sb="20" eb="21">
      <t>ワ</t>
    </rPh>
    <rPh sb="21" eb="22">
      <t>マ</t>
    </rPh>
    <rPh sb="22" eb="24">
      <t>チンギン</t>
    </rPh>
    <rPh sb="29" eb="30">
      <t>ブン</t>
    </rPh>
    <rPh sb="39" eb="41">
      <t>セイサン</t>
    </rPh>
    <phoneticPr fontId="25"/>
  </si>
  <si>
    <t>した後、代休扱いとする。</t>
    <rPh sb="2" eb="3">
      <t>ノチ</t>
    </rPh>
    <rPh sb="4" eb="6">
      <t>ダイキュウ</t>
    </rPh>
    <rPh sb="6" eb="7">
      <t>アツカ</t>
    </rPh>
    <phoneticPr fontId="25"/>
  </si>
  <si>
    <t>代休</t>
    <rPh sb="0" eb="2">
      <t>ダイキュウ</t>
    </rPh>
    <phoneticPr fontId="25"/>
  </si>
  <si>
    <t>代休は休日出勤した月後６ヶ月の間に消化しなければならず、これを経過すると消滅する。</t>
    <rPh sb="0" eb="2">
      <t>ダイキュウ</t>
    </rPh>
    <rPh sb="3" eb="5">
      <t>キュウジツ</t>
    </rPh>
    <rPh sb="5" eb="7">
      <t>シュッキン</t>
    </rPh>
    <rPh sb="9" eb="10">
      <t>ツキ</t>
    </rPh>
    <rPh sb="10" eb="11">
      <t>ゴ</t>
    </rPh>
    <rPh sb="13" eb="14">
      <t>ゲツ</t>
    </rPh>
    <rPh sb="15" eb="16">
      <t>アイダ</t>
    </rPh>
    <rPh sb="17" eb="19">
      <t>ショウカ</t>
    </rPh>
    <rPh sb="31" eb="33">
      <t>ケイカ</t>
    </rPh>
    <rPh sb="36" eb="38">
      <t>ショウメツ</t>
    </rPh>
    <phoneticPr fontId="25"/>
  </si>
  <si>
    <t>研修・勉強会</t>
    <rPh sb="0" eb="2">
      <t>ケンシュウ</t>
    </rPh>
    <rPh sb="3" eb="5">
      <t>ベンキョウ</t>
    </rPh>
    <rPh sb="5" eb="6">
      <t>カイ</t>
    </rPh>
    <phoneticPr fontId="25"/>
  </si>
  <si>
    <t>研修（社内・社外）および勉強会については休日や時間外に開催されることがある。</t>
    <rPh sb="0" eb="2">
      <t>ケンシュウ</t>
    </rPh>
    <rPh sb="3" eb="5">
      <t>シャナイ</t>
    </rPh>
    <rPh sb="6" eb="8">
      <t>シャガイ</t>
    </rPh>
    <rPh sb="12" eb="14">
      <t>ベンキョウ</t>
    </rPh>
    <rPh sb="14" eb="15">
      <t>カイ</t>
    </rPh>
    <rPh sb="20" eb="22">
      <t>キュウジツ</t>
    </rPh>
    <rPh sb="23" eb="26">
      <t>ジカンガイ</t>
    </rPh>
    <rPh sb="27" eb="29">
      <t>カイサイ</t>
    </rPh>
    <phoneticPr fontId="25"/>
  </si>
  <si>
    <t>・</t>
    <phoneticPr fontId="25"/>
  </si>
  <si>
    <t>研修については会社からの指示があったもととして時間外評価（休日出勤）の対象とする。</t>
    <rPh sb="7" eb="9">
      <t>カイシャ</t>
    </rPh>
    <rPh sb="12" eb="14">
      <t>シジ</t>
    </rPh>
    <rPh sb="23" eb="26">
      <t>ジカンガイ</t>
    </rPh>
    <rPh sb="26" eb="28">
      <t>ヒョウカ</t>
    </rPh>
    <rPh sb="29" eb="31">
      <t>キュウジツ</t>
    </rPh>
    <rPh sb="31" eb="33">
      <t>シュッキン</t>
    </rPh>
    <rPh sb="35" eb="37">
      <t>タイショウ</t>
    </rPh>
    <phoneticPr fontId="25"/>
  </si>
  <si>
    <t>・</t>
    <phoneticPr fontId="25"/>
  </si>
  <si>
    <t>勉強会については自主参加を前提として開催するため時間外評価はしない。（勤務表への記載もしないこと）</t>
    <rPh sb="0" eb="2">
      <t>ベンキョウ</t>
    </rPh>
    <rPh sb="2" eb="3">
      <t>カイ</t>
    </rPh>
    <rPh sb="8" eb="10">
      <t>ジシュ</t>
    </rPh>
    <rPh sb="10" eb="12">
      <t>サンカ</t>
    </rPh>
    <rPh sb="13" eb="15">
      <t>ゼンテイ</t>
    </rPh>
    <rPh sb="18" eb="20">
      <t>カイサイ</t>
    </rPh>
    <rPh sb="24" eb="27">
      <t>ジカンガイ</t>
    </rPh>
    <rPh sb="27" eb="29">
      <t>ヒョウカ</t>
    </rPh>
    <rPh sb="35" eb="37">
      <t>キンム</t>
    </rPh>
    <rPh sb="37" eb="38">
      <t>ヒョウ</t>
    </rPh>
    <rPh sb="40" eb="42">
      <t>キサイ</t>
    </rPh>
    <phoneticPr fontId="25"/>
  </si>
  <si>
    <t>勤務表の記入について</t>
    <rPh sb="0" eb="2">
      <t>キンム</t>
    </rPh>
    <rPh sb="2" eb="3">
      <t>ヒョウ</t>
    </rPh>
    <rPh sb="4" eb="6">
      <t>キニュウ</t>
    </rPh>
    <phoneticPr fontId="25"/>
  </si>
  <si>
    <t>・</t>
    <phoneticPr fontId="25"/>
  </si>
  <si>
    <t>通常時間外の範囲拡大（４０Ｈ→４５Ｈ）や繁忙期評価を採用することにより、時間外作業をする理由をより明確にする必要がる。</t>
    <rPh sb="0" eb="2">
      <t>ツウジョウ</t>
    </rPh>
    <rPh sb="2" eb="5">
      <t>ジカンガイ</t>
    </rPh>
    <rPh sb="6" eb="8">
      <t>ハンイ</t>
    </rPh>
    <rPh sb="8" eb="10">
      <t>カクダイ</t>
    </rPh>
    <rPh sb="20" eb="22">
      <t>ハンボウ</t>
    </rPh>
    <rPh sb="22" eb="23">
      <t>キ</t>
    </rPh>
    <rPh sb="23" eb="25">
      <t>ヒョウカ</t>
    </rPh>
    <rPh sb="26" eb="28">
      <t>サイヨウ</t>
    </rPh>
    <rPh sb="36" eb="39">
      <t>ジカンガイ</t>
    </rPh>
    <rPh sb="39" eb="41">
      <t>サギョウ</t>
    </rPh>
    <rPh sb="44" eb="46">
      <t>リユウ</t>
    </rPh>
    <rPh sb="49" eb="51">
      <t>メイカク</t>
    </rPh>
    <rPh sb="54" eb="56">
      <t>ヒツヨウ</t>
    </rPh>
    <phoneticPr fontId="25"/>
  </si>
  <si>
    <r>
      <t>よって、これまでの勤務表の他に「</t>
    </r>
    <r>
      <rPr>
        <b/>
        <sz val="10"/>
        <color indexed="10"/>
        <rFont val="ＭＳ Ｐゴシック"/>
        <family val="3"/>
        <charset val="128"/>
      </rPr>
      <t>時間外作業報告書</t>
    </r>
    <r>
      <rPr>
        <sz val="10"/>
        <rFont val="ＭＳ Ｐゴシック"/>
        <family val="3"/>
        <charset val="128"/>
      </rPr>
      <t>」を設け、時間外作業・休日作業を実施した日単位にその理由の記入しなければならない。</t>
    </r>
    <rPh sb="9" eb="11">
      <t>キンム</t>
    </rPh>
    <rPh sb="11" eb="12">
      <t>ヒョウ</t>
    </rPh>
    <rPh sb="13" eb="14">
      <t>ホカ</t>
    </rPh>
    <rPh sb="16" eb="19">
      <t>ジカンガイ</t>
    </rPh>
    <rPh sb="19" eb="21">
      <t>サギョウ</t>
    </rPh>
    <rPh sb="21" eb="23">
      <t>ホウコク</t>
    </rPh>
    <rPh sb="23" eb="24">
      <t>ショ</t>
    </rPh>
    <rPh sb="26" eb="27">
      <t>モウ</t>
    </rPh>
    <rPh sb="29" eb="32">
      <t>ジカンガイ</t>
    </rPh>
    <rPh sb="32" eb="34">
      <t>サギョウ</t>
    </rPh>
    <rPh sb="35" eb="37">
      <t>キュウジツ</t>
    </rPh>
    <rPh sb="37" eb="39">
      <t>サギョウ</t>
    </rPh>
    <rPh sb="40" eb="42">
      <t>ジッシ</t>
    </rPh>
    <rPh sb="44" eb="45">
      <t>ヒ</t>
    </rPh>
    <rPh sb="45" eb="47">
      <t>タンイ</t>
    </rPh>
    <rPh sb="50" eb="52">
      <t>リユウ</t>
    </rPh>
    <rPh sb="53" eb="55">
      <t>キニュウ</t>
    </rPh>
    <phoneticPr fontId="25"/>
  </si>
  <si>
    <t>本来、時間外作業は管理者の命令により実施すべきところであるが、派遣契約・出先作業により管理者が把握できない状況がある。</t>
    <rPh sb="0" eb="2">
      <t>ホンライ</t>
    </rPh>
    <rPh sb="3" eb="6">
      <t>ジカンガイ</t>
    </rPh>
    <rPh sb="6" eb="8">
      <t>サギョウ</t>
    </rPh>
    <rPh sb="9" eb="11">
      <t>カンリ</t>
    </rPh>
    <rPh sb="11" eb="12">
      <t>シャ</t>
    </rPh>
    <rPh sb="13" eb="15">
      <t>メイレイ</t>
    </rPh>
    <rPh sb="18" eb="20">
      <t>ジッシ</t>
    </rPh>
    <rPh sb="31" eb="33">
      <t>ハケン</t>
    </rPh>
    <rPh sb="33" eb="35">
      <t>ケイヤク</t>
    </rPh>
    <rPh sb="36" eb="38">
      <t>デサキ</t>
    </rPh>
    <rPh sb="38" eb="40">
      <t>サギョウ</t>
    </rPh>
    <rPh sb="43" eb="46">
      <t>カンリシャ</t>
    </rPh>
    <rPh sb="47" eb="49">
      <t>ハアク</t>
    </rPh>
    <rPh sb="53" eb="55">
      <t>ジョウキョウ</t>
    </rPh>
    <phoneticPr fontId="25"/>
  </si>
  <si>
    <t>また、会社は担当者の健康管理に配慮する必要もあるため、この「時間外作業報告書」を設け、時間外作業の必要性を判断する。</t>
    <rPh sb="3" eb="5">
      <t>カイシャ</t>
    </rPh>
    <rPh sb="6" eb="9">
      <t>タントウシャ</t>
    </rPh>
    <rPh sb="10" eb="12">
      <t>ケンコウ</t>
    </rPh>
    <rPh sb="12" eb="14">
      <t>カンリ</t>
    </rPh>
    <rPh sb="15" eb="17">
      <t>ハイリョ</t>
    </rPh>
    <rPh sb="19" eb="21">
      <t>ヒツヨウ</t>
    </rPh>
    <phoneticPr fontId="25"/>
  </si>
  <si>
    <t>・</t>
    <phoneticPr fontId="25"/>
  </si>
  <si>
    <r>
      <t>「時間外作業報告書」は時間外での作業内容を記載するものではなく、時間外作業を実施しなければならない</t>
    </r>
    <r>
      <rPr>
        <b/>
        <sz val="10"/>
        <color indexed="10"/>
        <rFont val="ＭＳ Ｐゴシック"/>
        <family val="3"/>
        <charset val="128"/>
      </rPr>
      <t>理由を記入</t>
    </r>
    <r>
      <rPr>
        <sz val="10"/>
        <rFont val="ＭＳ Ｐゴシック"/>
        <family val="3"/>
        <charset val="128"/>
      </rPr>
      <t>すること。</t>
    </r>
    <rPh sb="11" eb="14">
      <t>ジカンガイ</t>
    </rPh>
    <rPh sb="16" eb="18">
      <t>サギョウ</t>
    </rPh>
    <rPh sb="18" eb="20">
      <t>ナイヨウ</t>
    </rPh>
    <rPh sb="21" eb="23">
      <t>キサイ</t>
    </rPh>
    <rPh sb="32" eb="35">
      <t>ジカンガイ</t>
    </rPh>
    <rPh sb="35" eb="37">
      <t>サギョウ</t>
    </rPh>
    <rPh sb="38" eb="40">
      <t>ジッシ</t>
    </rPh>
    <rPh sb="49" eb="51">
      <t>リユウ</t>
    </rPh>
    <rPh sb="52" eb="54">
      <t>キニュウ</t>
    </rPh>
    <phoneticPr fontId="25"/>
  </si>
  <si>
    <t>時間外作業が連日となる場合でも、毎日同じ内容を記載することは理由にはならない。（日々の作業進捗が必要）</t>
    <rPh sb="0" eb="3">
      <t>ジカンガイ</t>
    </rPh>
    <rPh sb="3" eb="5">
      <t>サギョウ</t>
    </rPh>
    <rPh sb="6" eb="8">
      <t>レンジツ</t>
    </rPh>
    <rPh sb="11" eb="13">
      <t>バアイ</t>
    </rPh>
    <rPh sb="16" eb="18">
      <t>マイニチ</t>
    </rPh>
    <rPh sb="18" eb="19">
      <t>オナ</t>
    </rPh>
    <rPh sb="20" eb="22">
      <t>ナイヨウ</t>
    </rPh>
    <rPh sb="23" eb="25">
      <t>キサイ</t>
    </rPh>
    <rPh sb="30" eb="32">
      <t>リユウ</t>
    </rPh>
    <rPh sb="40" eb="42">
      <t>ヒビ</t>
    </rPh>
    <rPh sb="43" eb="45">
      <t>サギョウ</t>
    </rPh>
    <rPh sb="45" eb="47">
      <t>シンチョク</t>
    </rPh>
    <rPh sb="48" eb="50">
      <t>ヒツヨウ</t>
    </rPh>
    <phoneticPr fontId="25"/>
  </si>
  <si>
    <t>（「付き合い残業」・「なんとなく残業」は認められない。）</t>
    <rPh sb="2" eb="3">
      <t>ツ</t>
    </rPh>
    <rPh sb="4" eb="5">
      <t>ア</t>
    </rPh>
    <rPh sb="6" eb="8">
      <t>ザンギョウ</t>
    </rPh>
    <rPh sb="16" eb="18">
      <t>ザンギョウ</t>
    </rPh>
    <rPh sb="20" eb="21">
      <t>ミト</t>
    </rPh>
    <phoneticPr fontId="25"/>
  </si>
  <si>
    <t>・</t>
    <phoneticPr fontId="25"/>
  </si>
  <si>
    <r>
      <t>時間外作業が４５Ｈを超え、繁忙期評価を申請する場合は、</t>
    </r>
    <r>
      <rPr>
        <b/>
        <sz val="10"/>
        <color indexed="10"/>
        <rFont val="ＭＳ Ｐゴシック"/>
        <family val="3"/>
        <charset val="128"/>
      </rPr>
      <t>「時間外作業報告書」の備考欄に申請をするか否かを記載</t>
    </r>
    <r>
      <rPr>
        <sz val="10"/>
        <rFont val="ＭＳ Ｐゴシック"/>
        <family val="3"/>
        <charset val="128"/>
      </rPr>
      <t>することで行う。</t>
    </r>
    <rPh sb="0" eb="3">
      <t>ジカンガイ</t>
    </rPh>
    <rPh sb="3" eb="5">
      <t>サギョウ</t>
    </rPh>
    <rPh sb="10" eb="11">
      <t>コ</t>
    </rPh>
    <rPh sb="13" eb="15">
      <t>ハンボウ</t>
    </rPh>
    <rPh sb="15" eb="16">
      <t>キ</t>
    </rPh>
    <rPh sb="16" eb="18">
      <t>ヒョウカ</t>
    </rPh>
    <rPh sb="19" eb="21">
      <t>シンセイ</t>
    </rPh>
    <rPh sb="23" eb="25">
      <t>バアイ</t>
    </rPh>
    <rPh sb="28" eb="31">
      <t>ジカンガイ</t>
    </rPh>
    <rPh sb="31" eb="33">
      <t>サギョウ</t>
    </rPh>
    <rPh sb="33" eb="36">
      <t>ホウコクショ</t>
    </rPh>
    <rPh sb="38" eb="40">
      <t>ビコウ</t>
    </rPh>
    <rPh sb="40" eb="41">
      <t>ラン</t>
    </rPh>
    <rPh sb="58" eb="59">
      <t>オコナ</t>
    </rPh>
    <phoneticPr fontId="25"/>
  </si>
  <si>
    <t>繁忙期申請をせずに４５Ｈを超える時間外作業を記入することはできない。</t>
    <rPh sb="0" eb="2">
      <t>ハンボウ</t>
    </rPh>
    <rPh sb="2" eb="3">
      <t>キ</t>
    </rPh>
    <rPh sb="3" eb="5">
      <t>シンセイ</t>
    </rPh>
    <rPh sb="13" eb="14">
      <t>コ</t>
    </rPh>
    <rPh sb="22" eb="24">
      <t>キニュウ</t>
    </rPh>
    <phoneticPr fontId="25"/>
  </si>
  <si>
    <t>・</t>
    <phoneticPr fontId="25"/>
  </si>
  <si>
    <t>勤務表は翌月の帰社日までに提出しなければならない。</t>
    <rPh sb="0" eb="2">
      <t>キンム</t>
    </rPh>
    <rPh sb="2" eb="3">
      <t>オモテ</t>
    </rPh>
    <rPh sb="4" eb="6">
      <t>ヨクゲツ</t>
    </rPh>
    <rPh sb="7" eb="10">
      <t>キシャビ</t>
    </rPh>
    <rPh sb="13" eb="15">
      <t>テイシュツ</t>
    </rPh>
    <phoneticPr fontId="25"/>
  </si>
  <si>
    <t>※</t>
    <phoneticPr fontId="25"/>
  </si>
  <si>
    <t>従来、時間外評価をしなかった部分については、その時間を累積し、賞与にて累積時間による評価分（全時間ではないが．．）を加算して支給していた。</t>
    <rPh sb="0" eb="2">
      <t>ジュウライ</t>
    </rPh>
    <rPh sb="3" eb="6">
      <t>ジカンガイ</t>
    </rPh>
    <rPh sb="6" eb="8">
      <t>ヒョウカ</t>
    </rPh>
    <rPh sb="14" eb="16">
      <t>ブブン</t>
    </rPh>
    <rPh sb="24" eb="26">
      <t>ジカン</t>
    </rPh>
    <rPh sb="27" eb="29">
      <t>ルイセキ</t>
    </rPh>
    <rPh sb="31" eb="33">
      <t>ショウヨ</t>
    </rPh>
    <rPh sb="35" eb="37">
      <t>ルイセキ</t>
    </rPh>
    <rPh sb="37" eb="39">
      <t>ジカン</t>
    </rPh>
    <rPh sb="42" eb="44">
      <t>ヒョウカ</t>
    </rPh>
    <rPh sb="44" eb="45">
      <t>ブン</t>
    </rPh>
    <rPh sb="46" eb="47">
      <t>ゼン</t>
    </rPh>
    <rPh sb="47" eb="49">
      <t>ジカン</t>
    </rPh>
    <rPh sb="58" eb="60">
      <t>カサン</t>
    </rPh>
    <rPh sb="62" eb="64">
      <t>シキュウ</t>
    </rPh>
    <phoneticPr fontId="25"/>
  </si>
  <si>
    <t>今回、上記のとおり時間外評価を拡大することにより、従来の時間外評価から外れる部分の賞与時支給は原則行わない。</t>
    <rPh sb="0" eb="2">
      <t>コンカイ</t>
    </rPh>
    <rPh sb="3" eb="5">
      <t>ジョウキ</t>
    </rPh>
    <rPh sb="9" eb="12">
      <t>ジカンガイ</t>
    </rPh>
    <rPh sb="12" eb="14">
      <t>ヒョウカ</t>
    </rPh>
    <rPh sb="15" eb="17">
      <t>カクダイ</t>
    </rPh>
    <rPh sb="25" eb="27">
      <t>ジュウライ</t>
    </rPh>
    <rPh sb="28" eb="31">
      <t>ジカンガイ</t>
    </rPh>
    <rPh sb="31" eb="33">
      <t>ヒョウカ</t>
    </rPh>
    <rPh sb="35" eb="36">
      <t>ハズ</t>
    </rPh>
    <rPh sb="38" eb="40">
      <t>ブブン</t>
    </rPh>
    <rPh sb="41" eb="43">
      <t>ショウヨ</t>
    </rPh>
    <rPh sb="43" eb="44">
      <t>ジ</t>
    </rPh>
    <rPh sb="44" eb="46">
      <t>シキュウ</t>
    </rPh>
    <rPh sb="47" eb="49">
      <t>ゲンソク</t>
    </rPh>
    <rPh sb="49" eb="50">
      <t>オコナ</t>
    </rPh>
    <phoneticPr fontId="25"/>
  </si>
  <si>
    <t>休憩時間について</t>
    <rPh sb="0" eb="2">
      <t>キュウケイ</t>
    </rPh>
    <rPh sb="2" eb="4">
      <t>ジカン</t>
    </rPh>
    <phoneticPr fontId="25"/>
  </si>
  <si>
    <t>○　</t>
    <phoneticPr fontId="25"/>
  </si>
  <si>
    <t>始業が９：００の場合</t>
    <rPh sb="0" eb="2">
      <t>シギョウ</t>
    </rPh>
    <rPh sb="8" eb="10">
      <t>バアイ</t>
    </rPh>
    <phoneticPr fontId="25"/>
  </si>
  <si>
    <t>　　</t>
    <phoneticPr fontId="25"/>
  </si>
  <si>
    <t>→</t>
    <phoneticPr fontId="25"/>
  </si>
  <si>
    <t>１２：００－１３：００</t>
    <phoneticPr fontId="25"/>
  </si>
  <si>
    <t>　　・休憩時間は原則１２：００～</t>
    <rPh sb="8" eb="10">
      <t>ゲンソク</t>
    </rPh>
    <phoneticPr fontId="25"/>
  </si>
  <si>
    <t>　　・１２：００を過ぎて出勤した場合は出勤時間の３時間後から休憩時間とする</t>
    <phoneticPr fontId="25"/>
  </si>
  <si>
    <t>○　</t>
    <phoneticPr fontId="25"/>
  </si>
  <si>
    <t>勤務時間が８時間を越えて時間外労働する場合は３０分</t>
    <phoneticPr fontId="25"/>
  </si>
  <si>
    <t>→</t>
    <phoneticPr fontId="25"/>
  </si>
  <si>
    <t>１８：００－１８：３０</t>
    <phoneticPr fontId="25"/>
  </si>
  <si>
    <t>勤務時間が１１．５時間を越えて深夜労働する場合は３０分</t>
    <rPh sb="15" eb="17">
      <t>シンヤ</t>
    </rPh>
    <phoneticPr fontId="25"/>
  </si>
  <si>
    <t>２２：００－２２：３０</t>
    <phoneticPr fontId="25"/>
  </si>
  <si>
    <t>勤務時間が１８．０時間を越えて継続して労働する場合は３０分</t>
    <rPh sb="15" eb="17">
      <t>ケイゾク</t>
    </rPh>
    <rPh sb="19" eb="21">
      <t>ロウドウ</t>
    </rPh>
    <phoneticPr fontId="25"/>
  </si>
  <si>
    <t>→</t>
    <phoneticPr fontId="25"/>
  </si>
  <si>
    <t>５：００－５：３０</t>
    <phoneticPr fontId="25"/>
  </si>
  <si>
    <t>○　</t>
    <phoneticPr fontId="25"/>
  </si>
  <si>
    <t>勤務時間が２１．０時間を越えて継続して労働する場合は３０分</t>
    <rPh sb="15" eb="17">
      <t>ケイゾク</t>
    </rPh>
    <rPh sb="19" eb="21">
      <t>ロウドウ</t>
    </rPh>
    <phoneticPr fontId="25"/>
  </si>
  <si>
    <t>８：３０－９：００</t>
    <phoneticPr fontId="25"/>
  </si>
  <si>
    <t>※</t>
    <phoneticPr fontId="25"/>
  </si>
  <si>
    <r>
      <t>シフト勤務や出先の規則により始業時間が９：００でない場合は、時間外における休憩時間は</t>
    </r>
    <r>
      <rPr>
        <b/>
        <sz val="10"/>
        <color indexed="10"/>
        <rFont val="ＭＳ Ｐゴシック"/>
        <family val="3"/>
        <charset val="128"/>
      </rPr>
      <t>始業時間を起点</t>
    </r>
    <r>
      <rPr>
        <sz val="10"/>
        <rFont val="ＭＳ Ｐゴシック"/>
        <family val="3"/>
        <charset val="128"/>
      </rPr>
      <t>にして上記の休憩時間を設ける。</t>
    </r>
    <rPh sb="3" eb="5">
      <t>キンム</t>
    </rPh>
    <rPh sb="6" eb="8">
      <t>デサキ</t>
    </rPh>
    <rPh sb="9" eb="11">
      <t>キソク</t>
    </rPh>
    <rPh sb="14" eb="16">
      <t>シギョウ</t>
    </rPh>
    <rPh sb="16" eb="18">
      <t>ジカン</t>
    </rPh>
    <rPh sb="26" eb="28">
      <t>バアイ</t>
    </rPh>
    <rPh sb="30" eb="33">
      <t>ジカンガイ</t>
    </rPh>
    <rPh sb="37" eb="39">
      <t>キュウケイ</t>
    </rPh>
    <rPh sb="39" eb="41">
      <t>ジカン</t>
    </rPh>
    <rPh sb="42" eb="44">
      <t>シギョウ</t>
    </rPh>
    <rPh sb="44" eb="46">
      <t>ジカン</t>
    </rPh>
    <rPh sb="47" eb="49">
      <t>キテン</t>
    </rPh>
    <rPh sb="52" eb="54">
      <t>ジョウキ</t>
    </rPh>
    <rPh sb="55" eb="57">
      <t>キュウケイ</t>
    </rPh>
    <rPh sb="57" eb="59">
      <t>ジカン</t>
    </rPh>
    <rPh sb="60" eb="61">
      <t>モウ</t>
    </rPh>
    <phoneticPr fontId="25"/>
  </si>
  <si>
    <t>出勤後２４時間の間に帰宅せず、継続して会社または出先に滞在する場合は１日の区切りをａｍ５：００とするが、勤務開始時間等を考慮し、都度判断する。</t>
    <rPh sb="0" eb="2">
      <t>シュッキン</t>
    </rPh>
    <rPh sb="2" eb="3">
      <t>ゴ</t>
    </rPh>
    <rPh sb="5" eb="7">
      <t>ジカン</t>
    </rPh>
    <rPh sb="8" eb="9">
      <t>アイダ</t>
    </rPh>
    <rPh sb="10" eb="12">
      <t>キタク</t>
    </rPh>
    <rPh sb="15" eb="17">
      <t>ケイゾク</t>
    </rPh>
    <rPh sb="19" eb="21">
      <t>カイシャ</t>
    </rPh>
    <rPh sb="24" eb="26">
      <t>デサキ</t>
    </rPh>
    <rPh sb="27" eb="29">
      <t>タイザイ</t>
    </rPh>
    <rPh sb="31" eb="33">
      <t>バアイ</t>
    </rPh>
    <rPh sb="35" eb="36">
      <t>ヒ</t>
    </rPh>
    <rPh sb="37" eb="39">
      <t>クギ</t>
    </rPh>
    <rPh sb="52" eb="54">
      <t>キンム</t>
    </rPh>
    <rPh sb="54" eb="56">
      <t>カイシ</t>
    </rPh>
    <rPh sb="56" eb="58">
      <t>ジカン</t>
    </rPh>
    <rPh sb="58" eb="59">
      <t>トウ</t>
    </rPh>
    <rPh sb="60" eb="62">
      <t>コウリョ</t>
    </rPh>
    <rPh sb="64" eb="66">
      <t>ツド</t>
    </rPh>
    <rPh sb="66" eb="68">
      <t>ハンダン</t>
    </rPh>
    <phoneticPr fontId="25"/>
  </si>
  <si>
    <t>深夜における仮眠時間の休憩は設けない。（仮眠による休憩がとれるなら、帰宅しなさい）・・・仮眠時間があった場合は終業時間を繰り上げて勤務報告すること。</t>
    <rPh sb="0" eb="2">
      <t>シンヤ</t>
    </rPh>
    <rPh sb="6" eb="8">
      <t>カミン</t>
    </rPh>
    <rPh sb="8" eb="10">
      <t>ジカン</t>
    </rPh>
    <rPh sb="11" eb="13">
      <t>キュウケイ</t>
    </rPh>
    <rPh sb="14" eb="15">
      <t>モウ</t>
    </rPh>
    <rPh sb="20" eb="22">
      <t>カミン</t>
    </rPh>
    <rPh sb="25" eb="27">
      <t>キュウケイ</t>
    </rPh>
    <rPh sb="34" eb="36">
      <t>キタク</t>
    </rPh>
    <rPh sb="44" eb="46">
      <t>カミン</t>
    </rPh>
    <rPh sb="46" eb="48">
      <t>ジカン</t>
    </rPh>
    <rPh sb="52" eb="54">
      <t>バアイ</t>
    </rPh>
    <rPh sb="55" eb="57">
      <t>シュウギョウ</t>
    </rPh>
    <rPh sb="57" eb="59">
      <t>ジカン</t>
    </rPh>
    <rPh sb="60" eb="61">
      <t>ク</t>
    </rPh>
    <rPh sb="62" eb="63">
      <t>ア</t>
    </rPh>
    <rPh sb="65" eb="67">
      <t>キンム</t>
    </rPh>
    <rPh sb="67" eb="69">
      <t>ホウコク</t>
    </rPh>
    <phoneticPr fontId="25"/>
  </si>
  <si>
    <r>
      <t>　・　各担当者は、該当の勤務報告書を日々記入し、</t>
    </r>
    <r>
      <rPr>
        <sz val="10"/>
        <color indexed="10"/>
        <rFont val="ＭＳ 明朝"/>
        <family val="1"/>
        <charset val="128"/>
      </rPr>
      <t>締日翌月の帰社日</t>
    </r>
    <r>
      <rPr>
        <sz val="10"/>
        <rFont val="ＭＳ 明朝"/>
        <family val="1"/>
        <charset val="128"/>
      </rPr>
      <t>までに総務へ提出する。</t>
    </r>
    <rPh sb="26" eb="28">
      <t>ヨクゲツ</t>
    </rPh>
    <rPh sb="29" eb="31">
      <t>キシャ</t>
    </rPh>
    <phoneticPr fontId="6"/>
  </si>
  <si>
    <t>　・　時間外作業の評価は翌月分の給与計算にて実施する。</t>
    <rPh sb="3" eb="5">
      <t>ジカン</t>
    </rPh>
    <rPh sb="5" eb="6">
      <t>ガイ</t>
    </rPh>
    <rPh sb="6" eb="8">
      <t>サギョウ</t>
    </rPh>
    <rPh sb="9" eb="11">
      <t>ヒョウカ</t>
    </rPh>
    <rPh sb="12" eb="14">
      <t>ヨクゲツ</t>
    </rPh>
    <rPh sb="14" eb="15">
      <t>ブン</t>
    </rPh>
    <rPh sb="16" eb="18">
      <t>キュウヨ</t>
    </rPh>
    <rPh sb="18" eb="20">
      <t>ケイサン</t>
    </rPh>
    <rPh sb="22" eb="24">
      <t>ジッシ</t>
    </rPh>
    <phoneticPr fontId="6"/>
  </si>
  <si>
    <r>
      <t>　　　時間外作業が発生している場合は「</t>
    </r>
    <r>
      <rPr>
        <sz val="10"/>
        <color indexed="10"/>
        <rFont val="ＭＳ 明朝"/>
        <family val="1"/>
        <charset val="128"/>
      </rPr>
      <t>時間外作業報告書</t>
    </r>
    <r>
      <rPr>
        <sz val="10"/>
        <rFont val="ＭＳ 明朝"/>
        <family val="1"/>
        <charset val="128"/>
      </rPr>
      <t>」を添付しなければならない。</t>
    </r>
    <rPh sb="3" eb="5">
      <t>ジカン</t>
    </rPh>
    <rPh sb="5" eb="6">
      <t>ガイ</t>
    </rPh>
    <rPh sb="6" eb="8">
      <t>サギョウ</t>
    </rPh>
    <rPh sb="9" eb="11">
      <t>ハッセイ</t>
    </rPh>
    <rPh sb="15" eb="17">
      <t>バアイ</t>
    </rPh>
    <rPh sb="19" eb="21">
      <t>ジカン</t>
    </rPh>
    <rPh sb="21" eb="22">
      <t>ガイ</t>
    </rPh>
    <rPh sb="22" eb="24">
      <t>サギョウ</t>
    </rPh>
    <rPh sb="24" eb="27">
      <t>ホウコクショ</t>
    </rPh>
    <rPh sb="29" eb="31">
      <t>テンプ</t>
    </rPh>
    <phoneticPr fontId="6"/>
  </si>
  <si>
    <t>←１割減</t>
    <rPh sb="2" eb="4">
      <t>ワリゲン</t>
    </rPh>
    <phoneticPr fontId="25"/>
  </si>
  <si>
    <t>時間外評価を受けない部分で休日に８H以上の作業を行っていた場合は、代休扱いとするが、６ヶ月経過後における買取は行わない。</t>
    <rPh sb="0" eb="2">
      <t>ジカン</t>
    </rPh>
    <rPh sb="2" eb="3">
      <t>ガイ</t>
    </rPh>
    <rPh sb="3" eb="5">
      <t>ヒョウカ</t>
    </rPh>
    <rPh sb="6" eb="7">
      <t>ウ</t>
    </rPh>
    <rPh sb="10" eb="12">
      <t>ブブン</t>
    </rPh>
    <rPh sb="13" eb="15">
      <t>キュウジツ</t>
    </rPh>
    <rPh sb="18" eb="20">
      <t>イジョウ</t>
    </rPh>
    <rPh sb="21" eb="23">
      <t>サギョウ</t>
    </rPh>
    <rPh sb="24" eb="25">
      <t>オコナ</t>
    </rPh>
    <rPh sb="29" eb="31">
      <t>バアイ</t>
    </rPh>
    <rPh sb="33" eb="35">
      <t>ダイキュウ</t>
    </rPh>
    <rPh sb="35" eb="36">
      <t>アツカ</t>
    </rPh>
    <rPh sb="44" eb="45">
      <t>ゲツ</t>
    </rPh>
    <rPh sb="45" eb="47">
      <t>ケイカ</t>
    </rPh>
    <rPh sb="47" eb="48">
      <t>ゴ</t>
    </rPh>
    <rPh sb="52" eb="54">
      <t>カイトリ</t>
    </rPh>
    <rPh sb="55" eb="56">
      <t>オコナ</t>
    </rPh>
    <phoneticPr fontId="25"/>
  </si>
  <si>
    <r>
      <t>この際、該当月の時間外作業が該当月の上限時間内（通常は４５H、繁忙申請がある場合は９０H）であった場合、</t>
    </r>
    <r>
      <rPr>
        <b/>
        <sz val="10"/>
        <color indexed="10"/>
        <rFont val="ＭＳ Ｐゴシック"/>
        <family val="3"/>
        <charset val="128"/>
      </rPr>
      <t>上限時間－時間外作業で算出する残時間の範囲で通常単価</t>
    </r>
    <rPh sb="2" eb="3">
      <t>サイ</t>
    </rPh>
    <rPh sb="4" eb="6">
      <t>ガイトウ</t>
    </rPh>
    <rPh sb="6" eb="7">
      <t>ツキ</t>
    </rPh>
    <rPh sb="8" eb="10">
      <t>ジカン</t>
    </rPh>
    <rPh sb="10" eb="11">
      <t>ガイ</t>
    </rPh>
    <rPh sb="11" eb="13">
      <t>サギョウ</t>
    </rPh>
    <rPh sb="14" eb="16">
      <t>ガイトウ</t>
    </rPh>
    <rPh sb="16" eb="17">
      <t>ツキ</t>
    </rPh>
    <rPh sb="18" eb="20">
      <t>ジョウゲン</t>
    </rPh>
    <rPh sb="20" eb="22">
      <t>ジカン</t>
    </rPh>
    <rPh sb="22" eb="23">
      <t>ナイ</t>
    </rPh>
    <rPh sb="24" eb="26">
      <t>ツウジョウ</t>
    </rPh>
    <rPh sb="31" eb="33">
      <t>ハンボウ</t>
    </rPh>
    <rPh sb="33" eb="35">
      <t>シンセイ</t>
    </rPh>
    <rPh sb="38" eb="40">
      <t>バアイ</t>
    </rPh>
    <rPh sb="49" eb="51">
      <t>バアイ</t>
    </rPh>
    <rPh sb="52" eb="54">
      <t>ジョウゲン</t>
    </rPh>
    <rPh sb="54" eb="56">
      <t>ジカン</t>
    </rPh>
    <rPh sb="57" eb="59">
      <t>ジカン</t>
    </rPh>
    <rPh sb="59" eb="60">
      <t>ガイ</t>
    </rPh>
    <rPh sb="60" eb="62">
      <t>サギョウ</t>
    </rPh>
    <rPh sb="63" eb="65">
      <t>サンシュツ</t>
    </rPh>
    <rPh sb="67" eb="68">
      <t>ザン</t>
    </rPh>
    <rPh sb="68" eb="70">
      <t>ジカン</t>
    </rPh>
    <rPh sb="71" eb="73">
      <t>ハンイ</t>
    </rPh>
    <phoneticPr fontId="25"/>
  </si>
  <si>
    <r>
      <t>による金額で買取</t>
    </r>
    <r>
      <rPr>
        <sz val="10"/>
        <rFont val="ＭＳ Ｐゴシック"/>
        <family val="3"/>
        <charset val="128"/>
      </rPr>
      <t>する。（法定休日および時間外勤務の割増賃金は精算済みである）</t>
    </r>
    <phoneticPr fontId="25"/>
  </si>
  <si>
    <t>　シ　遅　早　代　休</t>
    <phoneticPr fontId="4"/>
  </si>
  <si>
    <t>昭和の日</t>
    <rPh sb="0" eb="2">
      <t>ショウワ</t>
    </rPh>
    <rPh sb="3" eb="4">
      <t>ヒ</t>
    </rPh>
    <phoneticPr fontId="6"/>
  </si>
  <si>
    <t>振替休日</t>
    <rPh sb="0" eb="2">
      <t>フリカエ</t>
    </rPh>
    <rPh sb="2" eb="4">
      <t>キュウジツ</t>
    </rPh>
    <phoneticPr fontId="6"/>
  </si>
  <si>
    <t>文化の日</t>
    <rPh sb="0" eb="2">
      <t>ブンカ</t>
    </rPh>
    <rPh sb="3" eb="4">
      <t>ヒ</t>
    </rPh>
    <phoneticPr fontId="6"/>
  </si>
  <si>
    <t>12/</t>
  </si>
  <si>
    <t>天皇誕生日</t>
  </si>
  <si>
    <t>年末休日</t>
  </si>
  <si>
    <t>1/</t>
  </si>
  <si>
    <t>元旦</t>
  </si>
  <si>
    <t>年始休日</t>
  </si>
  <si>
    <t>山の日</t>
    <rPh sb="0" eb="1">
      <t>ヤマ</t>
    </rPh>
    <rPh sb="2" eb="3">
      <t>ヒ</t>
    </rPh>
    <phoneticPr fontId="6"/>
  </si>
  <si>
    <t>成人の日</t>
  </si>
  <si>
    <t>天皇誕生日</t>
    <phoneticPr fontId="6"/>
  </si>
  <si>
    <t>年末休日</t>
    <phoneticPr fontId="6"/>
  </si>
  <si>
    <t>元旦</t>
    <phoneticPr fontId="6"/>
  </si>
  <si>
    <t>年始休日</t>
    <phoneticPr fontId="6"/>
  </si>
  <si>
    <t>成人の日</t>
    <phoneticPr fontId="6"/>
  </si>
</sst>
</file>

<file path=xl/styles.xml><?xml version="1.0" encoding="utf-8"?>
<styleSheet xmlns="http://schemas.openxmlformats.org/spreadsheetml/2006/main">
  <numFmts count="9">
    <numFmt numFmtId="176" formatCode="dd"/>
    <numFmt numFmtId="177" formatCode="[$-411]gggee&quot;年&quot;mm&quot;月&quot;dd&quot;日&quot;"/>
    <numFmt numFmtId="178" formatCode="0.0_ "/>
    <numFmt numFmtId="179" formatCode="#0.0&quot;H&quot;"/>
    <numFmt numFmtId="180" formatCode="#0.00&quot;H&quot;"/>
    <numFmt numFmtId="181" formatCode="0.00_);[Red]\(0.00\)"/>
    <numFmt numFmtId="182" formatCode="0.00_ "/>
    <numFmt numFmtId="183" formatCode="#0&quot;H&quot;"/>
    <numFmt numFmtId="184" formatCode="@&quot;　　印　&quot;"/>
  </numFmts>
  <fonts count="33">
    <font>
      <sz val="10"/>
      <name val="ＭＳ 明朝"/>
      <family val="1"/>
      <charset val="128"/>
    </font>
    <font>
      <sz val="10"/>
      <name val="ＭＳ 明朝"/>
      <family val="1"/>
      <charset val="128"/>
    </font>
    <font>
      <sz val="11"/>
      <name val="ＭＳ 明朝"/>
      <family val="1"/>
      <charset val="128"/>
    </font>
    <font>
      <sz val="12"/>
      <name val="ＭＳ 明朝"/>
      <family val="1"/>
      <charset val="128"/>
    </font>
    <font>
      <sz val="6"/>
      <name val="ＭＳ Ｐ明朝"/>
      <family val="1"/>
      <charset val="128"/>
    </font>
    <font>
      <b/>
      <sz val="11"/>
      <color indexed="10"/>
      <name val="ＭＳ 明朝"/>
      <family val="1"/>
      <charset val="128"/>
    </font>
    <font>
      <sz val="6"/>
      <name val="ＭＳ 明朝"/>
      <family val="1"/>
      <charset val="128"/>
    </font>
    <font>
      <sz val="8"/>
      <name val="ＭＳ 明朝"/>
      <family val="1"/>
      <charset val="128"/>
    </font>
    <font>
      <sz val="10"/>
      <color indexed="8"/>
      <name val="ＭＳ 明朝"/>
      <family val="1"/>
      <charset val="128"/>
    </font>
    <font>
      <sz val="10"/>
      <name val="ＭＳ 明朝"/>
      <family val="1"/>
      <charset val="128"/>
    </font>
    <font>
      <sz val="10"/>
      <color indexed="12"/>
      <name val="ＭＳ 明朝"/>
      <family val="1"/>
      <charset val="128"/>
    </font>
    <font>
      <sz val="10"/>
      <name val="ＭＳ 明朝"/>
      <family val="1"/>
      <charset val="128"/>
    </font>
    <font>
      <sz val="10"/>
      <color indexed="10"/>
      <name val="ＭＳ 明朝"/>
      <family val="1"/>
      <charset val="128"/>
    </font>
    <font>
      <sz val="10"/>
      <name val="ＭＳ 明朝"/>
      <family val="1"/>
      <charset val="128"/>
    </font>
    <font>
      <sz val="11"/>
      <color indexed="9"/>
      <name val="ＭＳ 明朝"/>
      <family val="1"/>
      <charset val="128"/>
    </font>
    <font>
      <u/>
      <sz val="10"/>
      <name val="ＭＳ Ｐ明朝"/>
      <family val="1"/>
      <charset val="128"/>
    </font>
    <font>
      <sz val="10"/>
      <name val="ＭＳ Ｐ明朝"/>
      <family val="1"/>
      <charset val="128"/>
    </font>
    <font>
      <sz val="9"/>
      <name val="ＭＳ 明朝"/>
      <family val="1"/>
      <charset val="128"/>
    </font>
    <font>
      <sz val="10"/>
      <color indexed="8"/>
      <name val="ＭＳ Ｐ明朝"/>
      <family val="1"/>
      <charset val="128"/>
    </font>
    <font>
      <sz val="11"/>
      <color indexed="8"/>
      <name val="ＭＳ 明朝"/>
      <family val="1"/>
      <charset val="128"/>
    </font>
    <font>
      <sz val="8"/>
      <color indexed="8"/>
      <name val="ＭＳ 明朝"/>
      <family val="1"/>
      <charset val="128"/>
    </font>
    <font>
      <sz val="10"/>
      <color indexed="9"/>
      <name val="ＭＳ 明朝"/>
      <family val="1"/>
      <charset val="128"/>
    </font>
    <font>
      <sz val="18"/>
      <name val="HG正楷書体-PRO"/>
      <family val="4"/>
      <charset val="128"/>
    </font>
    <font>
      <sz val="9"/>
      <color indexed="81"/>
      <name val="ＭＳ Ｐゴシック"/>
      <family val="3"/>
      <charset val="128"/>
    </font>
    <font>
      <sz val="10"/>
      <name val="ＭＳ Ｐゴシック"/>
      <family val="3"/>
      <charset val="128"/>
    </font>
    <font>
      <sz val="6"/>
      <name val="ＭＳ Ｐゴシック"/>
      <family val="3"/>
      <charset val="128"/>
    </font>
    <font>
      <sz val="11"/>
      <color indexed="10"/>
      <name val="ＭＳ 明朝"/>
      <family val="1"/>
      <charset val="128"/>
    </font>
    <font>
      <sz val="11"/>
      <name val="ＭＳ Ｐゴシック"/>
      <family val="3"/>
      <charset val="128"/>
    </font>
    <font>
      <sz val="11"/>
      <color indexed="10"/>
      <name val="ＭＳ Ｐゴシック"/>
      <family val="3"/>
      <charset val="128"/>
    </font>
    <font>
      <sz val="11"/>
      <color indexed="12"/>
      <name val="ＭＳ Ｐゴシック"/>
      <family val="3"/>
      <charset val="128"/>
    </font>
    <font>
      <b/>
      <sz val="11"/>
      <name val="ＭＳ Ｐゴシック"/>
      <family val="3"/>
      <charset val="128"/>
    </font>
    <font>
      <b/>
      <sz val="10"/>
      <color indexed="10"/>
      <name val="ＭＳ Ｐゴシック"/>
      <family val="3"/>
      <charset val="128"/>
    </font>
    <font>
      <b/>
      <sz val="10"/>
      <name val="ＭＳ Ｐゴシック"/>
      <family val="3"/>
      <charset val="128"/>
    </font>
  </fonts>
  <fills count="8">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indexed="11"/>
        <bgColor indexed="64"/>
      </patternFill>
    </fill>
    <fill>
      <patternFill patternType="solid">
        <fgColor indexed="41"/>
        <bgColor indexed="64"/>
      </patternFill>
    </fill>
    <fill>
      <patternFill patternType="solid">
        <fgColor indexed="15"/>
        <bgColor indexed="64"/>
      </patternFill>
    </fill>
    <fill>
      <patternFill patternType="lightUp"/>
    </fill>
  </fills>
  <borders count="54">
    <border>
      <left/>
      <right/>
      <top/>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double">
        <color indexed="64"/>
      </top>
      <bottom/>
      <diagonal/>
    </border>
    <border>
      <left style="double">
        <color indexed="64"/>
      </left>
      <right/>
      <top style="double">
        <color indexed="64"/>
      </top>
      <bottom/>
      <diagonal/>
    </border>
    <border>
      <left style="hair">
        <color indexed="64"/>
      </left>
      <right/>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10"/>
      </left>
      <right style="thin">
        <color indexed="10"/>
      </right>
      <top style="thin">
        <color indexed="10"/>
      </top>
      <bottom style="thin">
        <color indexed="10"/>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thin">
        <color indexed="64"/>
      </top>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right style="thin">
        <color indexed="22"/>
      </right>
      <top/>
      <bottom style="thin">
        <color indexed="22"/>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27" fillId="0" borderId="0"/>
  </cellStyleXfs>
  <cellXfs count="343">
    <xf numFmtId="0" fontId="0" fillId="0" borderId="0" xfId="0"/>
    <xf numFmtId="0" fontId="2" fillId="0" borderId="0" xfId="0" applyFont="1" applyAlignment="1">
      <alignment horizontal="center"/>
    </xf>
    <xf numFmtId="0" fontId="2" fillId="0" borderId="0" xfId="0" applyFont="1"/>
    <xf numFmtId="0" fontId="2" fillId="0" borderId="0" xfId="0" applyFont="1" applyAlignment="1">
      <alignment horizontal="centerContinuous"/>
    </xf>
    <xf numFmtId="49" fontId="2" fillId="0" borderId="0" xfId="0" applyNumberFormat="1" applyFont="1" applyAlignment="1">
      <alignment horizontal="center"/>
    </xf>
    <xf numFmtId="49" fontId="3" fillId="0" borderId="0" xfId="0" applyNumberFormat="1" applyFont="1" applyAlignment="1"/>
    <xf numFmtId="176" fontId="2" fillId="0" borderId="2" xfId="0" applyNumberFormat="1" applyFont="1" applyBorder="1" applyAlignment="1">
      <alignment horizontal="center"/>
    </xf>
    <xf numFmtId="176" fontId="2" fillId="0" borderId="3" xfId="0" applyNumberFormat="1" applyFont="1" applyBorder="1" applyAlignment="1">
      <alignment horizontal="center"/>
    </xf>
    <xf numFmtId="176" fontId="2" fillId="0" borderId="4" xfId="0" applyNumberFormat="1" applyFont="1" applyBorder="1" applyAlignment="1">
      <alignment horizontal="center"/>
    </xf>
    <xf numFmtId="49" fontId="0" fillId="0" borderId="0" xfId="0" applyNumberFormat="1" applyAlignment="1">
      <alignment horizontal="centerContinuous"/>
    </xf>
    <xf numFmtId="177" fontId="2" fillId="0" borderId="0" xfId="0" applyNumberFormat="1" applyFont="1" applyAlignment="1">
      <alignment horizontal="right"/>
    </xf>
    <xf numFmtId="176" fontId="2" fillId="0" borderId="0" xfId="0" applyNumberFormat="1" applyFont="1" applyBorder="1" applyAlignment="1">
      <alignment horizontal="center"/>
    </xf>
    <xf numFmtId="177" fontId="2" fillId="0" borderId="0" xfId="0" quotePrefix="1" applyNumberFormat="1" applyFont="1" applyAlignment="1">
      <alignment horizontal="left"/>
    </xf>
    <xf numFmtId="177" fontId="2" fillId="0" borderId="0" xfId="0" quotePrefix="1" applyNumberFormat="1" applyFont="1" applyAlignment="1">
      <alignment horizontal="right" vertical="center"/>
    </xf>
    <xf numFmtId="49" fontId="2" fillId="0" borderId="5" xfId="0" applyNumberFormat="1" applyFont="1" applyBorder="1" applyAlignment="1">
      <alignment horizontal="center" vertical="center"/>
    </xf>
    <xf numFmtId="0" fontId="2" fillId="0" borderId="6" xfId="0" applyFont="1" applyBorder="1" applyAlignment="1">
      <alignment horizontal="center" vertical="center"/>
    </xf>
    <xf numFmtId="56" fontId="2" fillId="0" borderId="6" xfId="0" applyNumberFormat="1" applyFont="1" applyBorder="1" applyAlignment="1">
      <alignment horizontal="center" vertical="center"/>
    </xf>
    <xf numFmtId="0" fontId="2" fillId="0" borderId="5" xfId="0" applyFont="1" applyBorder="1" applyAlignment="1">
      <alignment horizontal="center" vertical="center"/>
    </xf>
    <xf numFmtId="49" fontId="1" fillId="0" borderId="4" xfId="0" applyNumberFormat="1" applyFont="1" applyBorder="1" applyAlignment="1">
      <alignment horizontal="center" vertical="center"/>
    </xf>
    <xf numFmtId="49" fontId="1" fillId="0" borderId="7" xfId="0" applyNumberFormat="1" applyFont="1" applyBorder="1" applyAlignment="1">
      <alignment horizontal="center" vertical="center"/>
    </xf>
    <xf numFmtId="49" fontId="1" fillId="0" borderId="8" xfId="0" applyNumberFormat="1" applyFont="1" applyBorder="1" applyAlignment="1">
      <alignment horizontal="center" vertical="center"/>
    </xf>
    <xf numFmtId="0" fontId="1" fillId="0" borderId="9"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Continuous" vertical="center"/>
    </xf>
    <xf numFmtId="0" fontId="1" fillId="0" borderId="8" xfId="0" applyFont="1" applyBorder="1" applyAlignment="1">
      <alignment horizontal="centerContinuous" vertical="center"/>
    </xf>
    <xf numFmtId="0" fontId="1" fillId="0" borderId="3"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1" fillId="0" borderId="10" xfId="0" applyFont="1" applyBorder="1" applyAlignment="1">
      <alignment horizontal="centerContinuous" vertical="center"/>
    </xf>
    <xf numFmtId="0" fontId="1" fillId="0" borderId="11" xfId="0" applyFont="1" applyBorder="1" applyAlignment="1">
      <alignment horizontal="centerContinuous" vertical="center"/>
    </xf>
    <xf numFmtId="49" fontId="1" fillId="0" borderId="3" xfId="0" applyNumberFormat="1" applyFont="1" applyBorder="1" applyAlignment="1">
      <alignment horizontal="center" vertical="center"/>
    </xf>
    <xf numFmtId="177" fontId="2" fillId="0" borderId="0" xfId="0" quotePrefix="1" applyNumberFormat="1" applyFont="1" applyAlignment="1">
      <alignment horizontal="center"/>
    </xf>
    <xf numFmtId="49" fontId="2" fillId="0" borderId="0" xfId="0" applyNumberFormat="1" applyFont="1" applyAlignment="1">
      <alignment horizontal="right" vertical="center"/>
    </xf>
    <xf numFmtId="49" fontId="2"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2" fillId="2" borderId="13" xfId="0" applyFont="1" applyFill="1" applyBorder="1"/>
    <xf numFmtId="0" fontId="2" fillId="2" borderId="14" xfId="0" applyFont="1" applyFill="1" applyBorder="1"/>
    <xf numFmtId="0" fontId="2" fillId="2" borderId="0" xfId="0" applyFont="1" applyFill="1" applyBorder="1" applyAlignment="1">
      <alignment horizontal="right"/>
    </xf>
    <xf numFmtId="0" fontId="2" fillId="2" borderId="15" xfId="0" applyFont="1" applyFill="1" applyBorder="1"/>
    <xf numFmtId="0" fontId="2" fillId="2" borderId="0" xfId="0" applyFont="1" applyFill="1" applyBorder="1"/>
    <xf numFmtId="0" fontId="2" fillId="2" borderId="16" xfId="0" applyFont="1" applyFill="1" applyBorder="1"/>
    <xf numFmtId="0" fontId="2" fillId="2" borderId="17" xfId="0" applyFont="1" applyFill="1" applyBorder="1"/>
    <xf numFmtId="0" fontId="2" fillId="2" borderId="18" xfId="0" applyFont="1" applyFill="1" applyBorder="1"/>
    <xf numFmtId="55" fontId="5" fillId="2" borderId="19" xfId="0" applyNumberFormat="1" applyFont="1" applyFill="1" applyBorder="1" applyAlignment="1"/>
    <xf numFmtId="0" fontId="5" fillId="2" borderId="15" xfId="0" applyFont="1" applyFill="1" applyBorder="1"/>
    <xf numFmtId="0" fontId="2" fillId="2" borderId="20" xfId="0" applyFont="1" applyFill="1" applyBorder="1" applyAlignment="1">
      <alignment horizontal="center"/>
    </xf>
    <xf numFmtId="0" fontId="2" fillId="2" borderId="14" xfId="0" applyFont="1" applyFill="1" applyBorder="1" applyAlignment="1">
      <alignment horizontal="center"/>
    </xf>
    <xf numFmtId="49" fontId="2" fillId="0" borderId="8" xfId="0" applyNumberFormat="1" applyFont="1" applyBorder="1" applyAlignment="1">
      <alignment horizontal="center"/>
    </xf>
    <xf numFmtId="0" fontId="2" fillId="0" borderId="8" xfId="0" applyFont="1" applyBorder="1" applyAlignment="1">
      <alignment horizontal="center"/>
    </xf>
    <xf numFmtId="49" fontId="2" fillId="0" borderId="9" xfId="0" applyNumberFormat="1" applyFont="1" applyBorder="1" applyAlignment="1">
      <alignment horizontal="center"/>
    </xf>
    <xf numFmtId="49" fontId="2" fillId="0" borderId="21" xfId="0" applyNumberFormat="1" applyFont="1" applyBorder="1" applyAlignment="1">
      <alignment horizontal="center"/>
    </xf>
    <xf numFmtId="49" fontId="2" fillId="0" borderId="0" xfId="0" applyNumberFormat="1" applyFont="1" applyBorder="1" applyAlignment="1">
      <alignment horizontal="center"/>
    </xf>
    <xf numFmtId="0" fontId="2" fillId="0" borderId="0" xfId="0" applyFont="1" applyBorder="1" applyAlignment="1">
      <alignment horizontal="center"/>
    </xf>
    <xf numFmtId="49" fontId="2" fillId="0" borderId="22" xfId="0" applyNumberFormat="1" applyFont="1" applyBorder="1" applyAlignment="1">
      <alignment horizontal="center"/>
    </xf>
    <xf numFmtId="49" fontId="2" fillId="0" borderId="10" xfId="0" applyNumberFormat="1" applyFont="1" applyBorder="1" applyAlignment="1">
      <alignment horizontal="center"/>
    </xf>
    <xf numFmtId="49" fontId="2" fillId="0" borderId="11" xfId="0" applyNumberFormat="1" applyFont="1" applyBorder="1" applyAlignment="1">
      <alignment horizontal="center"/>
    </xf>
    <xf numFmtId="0" fontId="2" fillId="0" borderId="11" xfId="0" applyFont="1" applyBorder="1" applyAlignment="1">
      <alignment horizontal="center"/>
    </xf>
    <xf numFmtId="49" fontId="2" fillId="0" borderId="12" xfId="0" applyNumberFormat="1" applyFont="1" applyBorder="1" applyAlignment="1">
      <alignment horizontal="center"/>
    </xf>
    <xf numFmtId="20" fontId="0" fillId="0" borderId="0" xfId="0" applyNumberFormat="1"/>
    <xf numFmtId="178" fontId="2" fillId="0" borderId="0" xfId="0" applyNumberFormat="1" applyFont="1" applyBorder="1" applyAlignment="1">
      <alignment horizontal="right" vertical="center"/>
    </xf>
    <xf numFmtId="178" fontId="2" fillId="0" borderId="11" xfId="0" applyNumberFormat="1" applyFont="1" applyBorder="1" applyAlignment="1">
      <alignment horizontal="right" vertical="center"/>
    </xf>
    <xf numFmtId="0" fontId="2" fillId="0" borderId="7" xfId="0" applyFont="1" applyBorder="1" applyAlignment="1">
      <alignment vertical="center"/>
    </xf>
    <xf numFmtId="178" fontId="2" fillId="0" borderId="21" xfId="0" applyNumberFormat="1" applyFont="1" applyBorder="1" applyAlignment="1">
      <alignment horizontal="right" vertical="center"/>
    </xf>
    <xf numFmtId="0" fontId="1" fillId="0" borderId="6" xfId="0" applyFont="1" applyBorder="1" applyAlignment="1">
      <alignment horizontal="center"/>
    </xf>
    <xf numFmtId="0" fontId="1" fillId="0" borderId="3" xfId="0" applyFont="1" applyBorder="1" applyAlignment="1">
      <alignment horizontal="right"/>
    </xf>
    <xf numFmtId="176" fontId="1" fillId="0" borderId="4" xfId="0" applyNumberFormat="1" applyFont="1" applyFill="1" applyBorder="1" applyAlignment="1">
      <alignment horizontal="left"/>
    </xf>
    <xf numFmtId="0" fontId="8" fillId="0" borderId="0" xfId="0" applyFont="1" applyAlignment="1">
      <alignment horizontal="center"/>
    </xf>
    <xf numFmtId="176" fontId="9" fillId="0" borderId="2" xfId="0" applyNumberFormat="1" applyFont="1" applyFill="1" applyBorder="1" applyAlignment="1">
      <alignment horizontal="center"/>
    </xf>
    <xf numFmtId="176" fontId="8" fillId="0" borderId="3" xfId="0" applyNumberFormat="1" applyFont="1" applyFill="1" applyBorder="1" applyAlignment="1">
      <alignment horizontal="center"/>
    </xf>
    <xf numFmtId="176" fontId="9" fillId="0" borderId="4" xfId="0" applyNumberFormat="1" applyFont="1" applyFill="1" applyBorder="1" applyAlignment="1">
      <alignment horizontal="left"/>
    </xf>
    <xf numFmtId="176" fontId="10" fillId="0" borderId="3" xfId="0" applyNumberFormat="1" applyFont="1" applyFill="1" applyBorder="1" applyAlignment="1">
      <alignment horizontal="center"/>
    </xf>
    <xf numFmtId="176" fontId="11" fillId="0" borderId="4" xfId="0" applyNumberFormat="1" applyFont="1" applyFill="1" applyBorder="1" applyAlignment="1">
      <alignment horizontal="left"/>
    </xf>
    <xf numFmtId="176" fontId="12" fillId="0" borderId="3" xfId="0" applyNumberFormat="1" applyFont="1" applyFill="1" applyBorder="1" applyAlignment="1">
      <alignment horizontal="center"/>
    </xf>
    <xf numFmtId="176" fontId="13" fillId="0" borderId="4" xfId="0" applyNumberFormat="1" applyFont="1" applyFill="1" applyBorder="1" applyAlignment="1">
      <alignment horizontal="left"/>
    </xf>
    <xf numFmtId="176" fontId="13" fillId="0" borderId="2" xfId="0" applyNumberFormat="1" applyFont="1" applyFill="1" applyBorder="1" applyAlignment="1">
      <alignment horizontal="center"/>
    </xf>
    <xf numFmtId="0" fontId="1" fillId="0" borderId="0" xfId="0" applyFont="1" applyBorder="1" applyAlignment="1">
      <alignment horizontal="left" vertical="center"/>
    </xf>
    <xf numFmtId="0" fontId="1" fillId="0" borderId="10" xfId="0" applyNumberFormat="1" applyFont="1" applyBorder="1" applyAlignment="1">
      <alignment vertical="center"/>
    </xf>
    <xf numFmtId="176" fontId="9" fillId="0" borderId="0" xfId="0" applyNumberFormat="1" applyFont="1" applyBorder="1" applyAlignment="1">
      <alignment horizontal="center" vertical="center"/>
    </xf>
    <xf numFmtId="20" fontId="2" fillId="0" borderId="21" xfId="0" applyNumberFormat="1" applyFont="1" applyBorder="1" applyAlignment="1">
      <alignment horizontal="center" vertical="center"/>
    </xf>
    <xf numFmtId="20" fontId="2" fillId="0" borderId="22" xfId="0" applyNumberFormat="1" applyFont="1" applyBorder="1" applyAlignment="1">
      <alignment horizontal="center" vertical="center"/>
    </xf>
    <xf numFmtId="0" fontId="2" fillId="0" borderId="0" xfId="0" applyFont="1" applyBorder="1" applyAlignment="1">
      <alignment vertical="center"/>
    </xf>
    <xf numFmtId="0" fontId="7" fillId="0" borderId="11" xfId="0" applyNumberFormat="1" applyFont="1" applyBorder="1" applyAlignment="1">
      <alignment vertical="center"/>
    </xf>
    <xf numFmtId="176" fontId="1" fillId="0" borderId="2" xfId="0" applyNumberFormat="1" applyFont="1" applyFill="1" applyBorder="1" applyAlignment="1">
      <alignment horizontal="center"/>
    </xf>
    <xf numFmtId="176" fontId="1" fillId="0" borderId="0" xfId="0" applyNumberFormat="1" applyFont="1" applyBorder="1" applyAlignment="1">
      <alignment horizontal="center" vertical="center"/>
    </xf>
    <xf numFmtId="0" fontId="8" fillId="0" borderId="0" xfId="0" applyFont="1" applyAlignment="1">
      <alignment vertical="center"/>
    </xf>
    <xf numFmtId="0" fontId="9" fillId="0" borderId="0" xfId="0" applyFont="1" applyAlignment="1">
      <alignment vertical="center"/>
    </xf>
    <xf numFmtId="0" fontId="1" fillId="0" borderId="0" xfId="0" applyFont="1" applyAlignment="1">
      <alignment vertical="center"/>
    </xf>
    <xf numFmtId="49" fontId="15" fillId="0" borderId="7" xfId="0" applyNumberFormat="1" applyFont="1" applyBorder="1" applyAlignment="1"/>
    <xf numFmtId="49" fontId="1" fillId="0" borderId="21" xfId="0" applyNumberFormat="1" applyFont="1" applyBorder="1" applyAlignment="1">
      <alignment horizontal="center" vertical="center"/>
    </xf>
    <xf numFmtId="49" fontId="8" fillId="0" borderId="0" xfId="0" applyNumberFormat="1" applyFont="1" applyAlignment="1">
      <alignment horizontal="center"/>
    </xf>
    <xf numFmtId="20" fontId="2" fillId="0" borderId="10" xfId="0" applyNumberFormat="1" applyFont="1" applyBorder="1" applyAlignment="1">
      <alignment horizontal="center" vertical="center"/>
    </xf>
    <xf numFmtId="176" fontId="9" fillId="0" borderId="11" xfId="0" applyNumberFormat="1" applyFont="1" applyBorder="1" applyAlignment="1">
      <alignment horizontal="center" vertical="center"/>
    </xf>
    <xf numFmtId="20" fontId="2" fillId="0" borderId="12" xfId="0" applyNumberFormat="1" applyFont="1" applyBorder="1" applyAlignment="1">
      <alignment horizontal="center" vertical="center"/>
    </xf>
    <xf numFmtId="0" fontId="0" fillId="0" borderId="4"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2" fillId="0" borderId="21" xfId="0" applyFont="1" applyBorder="1" applyAlignment="1">
      <alignment vertical="center"/>
    </xf>
    <xf numFmtId="20" fontId="1" fillId="0" borderId="12" xfId="0" applyNumberFormat="1" applyFont="1" applyBorder="1" applyAlignment="1">
      <alignment horizontal="left" vertical="center"/>
    </xf>
    <xf numFmtId="176" fontId="8" fillId="0" borderId="4" xfId="0" applyNumberFormat="1" applyFont="1" applyFill="1" applyBorder="1" applyAlignment="1">
      <alignment horizontal="left"/>
    </xf>
    <xf numFmtId="0" fontId="19" fillId="0" borderId="7" xfId="0" applyFont="1" applyBorder="1" applyAlignment="1">
      <alignment vertical="center"/>
    </xf>
    <xf numFmtId="0" fontId="19" fillId="0" borderId="0" xfId="0" applyFont="1" applyBorder="1" applyAlignment="1">
      <alignment vertical="center"/>
    </xf>
    <xf numFmtId="178" fontId="19" fillId="0" borderId="0" xfId="0" applyNumberFormat="1" applyFont="1" applyBorder="1" applyAlignment="1">
      <alignment horizontal="right" vertical="center"/>
    </xf>
    <xf numFmtId="0" fontId="8" fillId="0" borderId="0" xfId="0" applyFont="1" applyBorder="1" applyAlignment="1">
      <alignment horizontal="left" vertical="center"/>
    </xf>
    <xf numFmtId="0" fontId="19" fillId="0" borderId="4" xfId="0" applyFont="1" applyBorder="1" applyAlignment="1">
      <alignment vertical="center"/>
    </xf>
    <xf numFmtId="176" fontId="19" fillId="0" borderId="4" xfId="0" applyNumberFormat="1" applyFont="1" applyBorder="1" applyAlignment="1">
      <alignment horizontal="center"/>
    </xf>
    <xf numFmtId="176" fontId="8" fillId="0" borderId="2" xfId="0" applyNumberFormat="1" applyFont="1" applyFill="1" applyBorder="1" applyAlignment="1">
      <alignment horizontal="center"/>
    </xf>
    <xf numFmtId="176" fontId="8" fillId="0" borderId="0" xfId="0" applyNumberFormat="1" applyFont="1" applyBorder="1" applyAlignment="1">
      <alignment horizontal="center" vertical="center"/>
    </xf>
    <xf numFmtId="178" fontId="19" fillId="0" borderId="21" xfId="0" applyNumberFormat="1" applyFont="1" applyBorder="1" applyAlignment="1">
      <alignment horizontal="right" vertical="center"/>
    </xf>
    <xf numFmtId="179" fontId="19" fillId="0" borderId="2" xfId="0" applyNumberFormat="1" applyFont="1" applyBorder="1" applyAlignment="1">
      <alignment vertical="center"/>
    </xf>
    <xf numFmtId="176" fontId="19" fillId="0" borderId="2" xfId="0" applyNumberFormat="1" applyFont="1" applyBorder="1" applyAlignment="1">
      <alignment horizontal="center"/>
    </xf>
    <xf numFmtId="0" fontId="8" fillId="0" borderId="10" xfId="0" applyNumberFormat="1" applyFont="1" applyBorder="1" applyAlignment="1">
      <alignment vertical="center"/>
    </xf>
    <xf numFmtId="0" fontId="20" fillId="0" borderId="11" xfId="0" applyNumberFormat="1" applyFont="1" applyBorder="1" applyAlignment="1">
      <alignment vertical="center"/>
    </xf>
    <xf numFmtId="178" fontId="19" fillId="0" borderId="11" xfId="0" applyNumberFormat="1" applyFont="1" applyBorder="1" applyAlignment="1">
      <alignment horizontal="right" vertical="center"/>
    </xf>
    <xf numFmtId="20" fontId="8" fillId="0" borderId="11" xfId="0" applyNumberFormat="1" applyFont="1" applyBorder="1" applyAlignment="1">
      <alignment horizontal="left" vertical="center"/>
    </xf>
    <xf numFmtId="176" fontId="19" fillId="0" borderId="3" xfId="0" applyNumberFormat="1" applyFont="1" applyBorder="1" applyAlignment="1">
      <alignment horizontal="center"/>
    </xf>
    <xf numFmtId="0" fontId="8" fillId="0" borderId="8" xfId="0" applyFont="1" applyBorder="1" applyAlignment="1">
      <alignment horizontal="distributed" vertical="center"/>
    </xf>
    <xf numFmtId="0" fontId="8" fillId="0" borderId="9" xfId="0" applyFont="1" applyBorder="1" applyAlignment="1">
      <alignment horizontal="distributed" vertical="center"/>
    </xf>
    <xf numFmtId="176" fontId="21" fillId="0" borderId="4" xfId="0" applyNumberFormat="1" applyFont="1" applyFill="1" applyBorder="1" applyAlignment="1">
      <alignment horizontal="left"/>
    </xf>
    <xf numFmtId="0" fontId="21" fillId="0" borderId="0" xfId="0" applyFont="1" applyAlignment="1">
      <alignment vertical="center"/>
    </xf>
    <xf numFmtId="179" fontId="14" fillId="0" borderId="2" xfId="0" applyNumberFormat="1" applyFont="1" applyBorder="1" applyAlignment="1">
      <alignment vertical="center"/>
    </xf>
    <xf numFmtId="49" fontId="1" fillId="0" borderId="23" xfId="0" applyNumberFormat="1" applyFont="1" applyBorder="1" applyAlignment="1">
      <alignment horizontal="center" vertical="center"/>
    </xf>
    <xf numFmtId="0" fontId="9" fillId="0" borderId="4" xfId="0" applyFont="1" applyBorder="1" applyAlignment="1">
      <alignment vertical="center"/>
    </xf>
    <xf numFmtId="0" fontId="9" fillId="0" borderId="2" xfId="0" applyFont="1" applyBorder="1" applyAlignment="1">
      <alignment vertical="center"/>
    </xf>
    <xf numFmtId="0" fontId="9" fillId="0" borderId="3" xfId="0" applyFont="1" applyBorder="1" applyAlignment="1">
      <alignment vertical="center"/>
    </xf>
    <xf numFmtId="49" fontId="22" fillId="0" borderId="0" xfId="0" applyNumberFormat="1" applyFont="1" applyBorder="1" applyAlignment="1">
      <alignment horizontal="center" vertical="center"/>
    </xf>
    <xf numFmtId="49" fontId="22" fillId="0" borderId="0" xfId="0" applyNumberFormat="1" applyFont="1" applyAlignment="1">
      <alignment horizontal="center" vertical="center"/>
    </xf>
    <xf numFmtId="18" fontId="0" fillId="0" borderId="0" xfId="0" applyNumberFormat="1"/>
    <xf numFmtId="49" fontId="2" fillId="0" borderId="0" xfId="0" applyNumberFormat="1" applyFont="1" applyBorder="1" applyAlignment="1"/>
    <xf numFmtId="0" fontId="16" fillId="0" borderId="0" xfId="0" applyNumberFormat="1" applyFont="1" applyAlignment="1">
      <alignment horizontal="right"/>
    </xf>
    <xf numFmtId="0" fontId="2" fillId="0" borderId="0" xfId="0" applyFont="1" applyAlignment="1">
      <alignment horizontal="center" vertical="center"/>
    </xf>
    <xf numFmtId="0" fontId="2" fillId="0" borderId="0" xfId="0" applyFont="1" applyAlignment="1">
      <alignment horizontal="distributed" vertical="top"/>
    </xf>
    <xf numFmtId="0" fontId="2" fillId="0" borderId="0" xfId="0" applyFont="1" applyAlignment="1">
      <alignment horizontal="distributed" vertical="center"/>
    </xf>
    <xf numFmtId="0" fontId="2" fillId="0" borderId="0" xfId="0" applyFont="1" applyAlignment="1"/>
    <xf numFmtId="0" fontId="1" fillId="0" borderId="8" xfId="0" applyFont="1" applyBorder="1" applyAlignment="1"/>
    <xf numFmtId="0" fontId="2" fillId="0" borderId="8" xfId="0" applyFont="1" applyBorder="1" applyAlignment="1"/>
    <xf numFmtId="0" fontId="2" fillId="0" borderId="0" xfId="0" applyFont="1" applyBorder="1" applyAlignment="1"/>
    <xf numFmtId="0" fontId="1" fillId="0" borderId="0" xfId="0" applyFont="1" applyBorder="1" applyAlignment="1"/>
    <xf numFmtId="0" fontId="2" fillId="0" borderId="11" xfId="0" applyFont="1" applyBorder="1" applyAlignment="1"/>
    <xf numFmtId="0" fontId="1" fillId="0" borderId="11" xfId="0" applyFont="1" applyBorder="1" applyAlignment="1"/>
    <xf numFmtId="176" fontId="1" fillId="0" borderId="2" xfId="0" applyNumberFormat="1" applyFont="1" applyFill="1" applyBorder="1" applyAlignment="1">
      <alignment horizontal="left"/>
    </xf>
    <xf numFmtId="49" fontId="1" fillId="0" borderId="24" xfId="0" applyNumberFormat="1" applyFont="1" applyBorder="1" applyAlignment="1">
      <alignment horizontal="center" vertical="center"/>
    </xf>
    <xf numFmtId="0" fontId="1" fillId="0" borderId="5" xfId="0" applyFont="1" applyBorder="1" applyAlignment="1">
      <alignment horizontal="center" vertical="center"/>
    </xf>
    <xf numFmtId="0" fontId="0" fillId="0" borderId="25" xfId="0" applyBorder="1" applyAlignment="1">
      <alignment horizontal="center"/>
    </xf>
    <xf numFmtId="20" fontId="0" fillId="0" borderId="25" xfId="0" applyNumberFormat="1" applyBorder="1"/>
    <xf numFmtId="18" fontId="0" fillId="0" borderId="25" xfId="0" applyNumberFormat="1" applyBorder="1"/>
    <xf numFmtId="0" fontId="0" fillId="0" borderId="26" xfId="0" applyBorder="1"/>
    <xf numFmtId="0" fontId="0" fillId="0" borderId="27" xfId="0" applyBorder="1" applyAlignment="1">
      <alignment horizontal="right"/>
    </xf>
    <xf numFmtId="0" fontId="12" fillId="0" borderId="0" xfId="0" applyFont="1" applyAlignment="1">
      <alignment horizontal="center"/>
    </xf>
    <xf numFmtId="0" fontId="24" fillId="0" borderId="1" xfId="0" applyFont="1" applyBorder="1" applyAlignment="1">
      <alignment horizontal="center" vertical="center"/>
    </xf>
    <xf numFmtId="180" fontId="24" fillId="0" borderId="1" xfId="0" applyNumberFormat="1" applyFont="1" applyBorder="1" applyAlignment="1">
      <alignment vertical="center"/>
    </xf>
    <xf numFmtId="0" fontId="24" fillId="0" borderId="1" xfId="0" applyFont="1" applyBorder="1" applyAlignment="1">
      <alignment vertical="center"/>
    </xf>
    <xf numFmtId="0" fontId="24" fillId="0" borderId="0" xfId="0" applyFont="1" applyAlignment="1">
      <alignment vertical="center"/>
    </xf>
    <xf numFmtId="0" fontId="0" fillId="0" borderId="0" xfId="0" applyBorder="1" applyAlignment="1">
      <alignment horizontal="center"/>
    </xf>
    <xf numFmtId="18" fontId="0" fillId="0" borderId="0" xfId="0" applyNumberFormat="1" applyBorder="1"/>
    <xf numFmtId="20" fontId="0" fillId="0" borderId="0" xfId="0" applyNumberFormat="1" applyBorder="1"/>
    <xf numFmtId="178" fontId="0" fillId="0" borderId="0" xfId="0" applyNumberFormat="1"/>
    <xf numFmtId="0" fontId="1" fillId="0" borderId="1" xfId="0" applyFont="1" applyBorder="1" applyAlignment="1">
      <alignment horizontal="center" vertical="center"/>
    </xf>
    <xf numFmtId="180" fontId="1" fillId="0" borderId="1" xfId="0" applyNumberFormat="1" applyFont="1" applyBorder="1" applyAlignment="1">
      <alignment vertical="center"/>
    </xf>
    <xf numFmtId="181" fontId="1" fillId="0" borderId="1" xfId="0" applyNumberFormat="1" applyFont="1" applyBorder="1" applyAlignment="1">
      <alignment vertical="center"/>
    </xf>
    <xf numFmtId="0" fontId="1" fillId="0" borderId="1" xfId="0" applyFont="1" applyBorder="1" applyAlignment="1">
      <alignment vertical="center"/>
    </xf>
    <xf numFmtId="0" fontId="1" fillId="0" borderId="28" xfId="0" applyFont="1" applyBorder="1" applyAlignment="1">
      <alignment vertical="center"/>
    </xf>
    <xf numFmtId="180" fontId="1" fillId="0" borderId="28" xfId="0" applyNumberFormat="1" applyFont="1" applyBorder="1" applyAlignment="1">
      <alignment vertical="center"/>
    </xf>
    <xf numFmtId="0" fontId="1" fillId="0" borderId="0" xfId="0" applyFont="1" applyFill="1" applyBorder="1" applyAlignment="1">
      <alignment vertical="center"/>
    </xf>
    <xf numFmtId="182" fontId="1" fillId="0" borderId="0" xfId="0" applyNumberFormat="1" applyFont="1"/>
    <xf numFmtId="180" fontId="12" fillId="0" borderId="1" xfId="0" applyNumberFormat="1" applyFont="1" applyBorder="1" applyAlignment="1">
      <alignment vertical="center"/>
    </xf>
    <xf numFmtId="0" fontId="12" fillId="0" borderId="1" xfId="0" applyFont="1" applyBorder="1" applyAlignment="1">
      <alignment horizontal="center" vertical="center"/>
    </xf>
    <xf numFmtId="0" fontId="12" fillId="0" borderId="28" xfId="0" applyFont="1" applyBorder="1" applyAlignment="1">
      <alignment horizontal="center" vertical="center"/>
    </xf>
    <xf numFmtId="0" fontId="0" fillId="0" borderId="0" xfId="0"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0" xfId="0" applyAlignment="1"/>
    <xf numFmtId="0" fontId="26" fillId="0" borderId="0" xfId="0" applyFont="1"/>
    <xf numFmtId="0" fontId="26" fillId="0" borderId="0" xfId="0" applyFont="1" applyAlignment="1">
      <alignment horizontal="center"/>
    </xf>
    <xf numFmtId="178" fontId="26" fillId="0" borderId="0" xfId="0" applyNumberFormat="1" applyFont="1"/>
    <xf numFmtId="179" fontId="8" fillId="0" borderId="2" xfId="0" applyNumberFormat="1" applyFont="1" applyBorder="1" applyAlignment="1">
      <alignment horizontal="center" vertical="center"/>
    </xf>
    <xf numFmtId="0" fontId="14" fillId="0" borderId="4" xfId="0" applyFont="1" applyBorder="1" applyAlignment="1">
      <alignment vertical="center"/>
    </xf>
    <xf numFmtId="55" fontId="5" fillId="2" borderId="19" xfId="0" applyNumberFormat="1" applyFont="1" applyFill="1" applyBorder="1" applyAlignment="1" applyProtection="1">
      <protection locked="0"/>
    </xf>
    <xf numFmtId="0" fontId="2" fillId="0" borderId="6" xfId="0" applyFont="1" applyBorder="1" applyAlignment="1" applyProtection="1">
      <alignment horizontal="center" vertical="center"/>
      <protection locked="0"/>
    </xf>
    <xf numFmtId="20" fontId="19" fillId="0" borderId="21" xfId="0" applyNumberFormat="1" applyFont="1" applyBorder="1" applyAlignment="1" applyProtection="1">
      <alignment horizontal="center" vertical="center"/>
      <protection locked="0"/>
    </xf>
    <xf numFmtId="20" fontId="19" fillId="0" borderId="22" xfId="0" applyNumberFormat="1" applyFont="1" applyBorder="1" applyAlignment="1" applyProtection="1">
      <alignment horizontal="center" vertical="center"/>
      <protection locked="0"/>
    </xf>
    <xf numFmtId="56" fontId="2" fillId="0" borderId="6" xfId="0" applyNumberFormat="1" applyFont="1" applyBorder="1" applyAlignment="1" applyProtection="1">
      <alignment horizontal="center" vertical="center"/>
      <protection locked="0"/>
    </xf>
    <xf numFmtId="0" fontId="0" fillId="0" borderId="0" xfId="0" quotePrefix="1"/>
    <xf numFmtId="0" fontId="26" fillId="0" borderId="33" xfId="0" applyFont="1" applyBorder="1" applyAlignment="1" applyProtection="1">
      <alignment horizontal="center" vertical="center"/>
      <protection locked="0"/>
    </xf>
    <xf numFmtId="0" fontId="26" fillId="0" borderId="33" xfId="0" applyFont="1" applyBorder="1" applyAlignment="1" applyProtection="1">
      <alignment horizontal="center"/>
      <protection locked="0"/>
    </xf>
    <xf numFmtId="49" fontId="12" fillId="0" borderId="0" xfId="0" applyNumberFormat="1" applyFont="1" applyBorder="1" applyAlignment="1">
      <alignment vertical="center"/>
    </xf>
    <xf numFmtId="0" fontId="5" fillId="2" borderId="15" xfId="0" applyFont="1" applyFill="1" applyBorder="1" applyProtection="1"/>
    <xf numFmtId="20" fontId="2" fillId="0" borderId="21" xfId="0" applyNumberFormat="1" applyFont="1" applyBorder="1" applyAlignment="1" applyProtection="1">
      <alignment horizontal="center" vertical="center"/>
      <protection locked="0"/>
    </xf>
    <xf numFmtId="20" fontId="2" fillId="0" borderId="22" xfId="0" applyNumberFormat="1" applyFont="1" applyBorder="1" applyAlignment="1" applyProtection="1">
      <alignment horizontal="center" vertical="center"/>
      <protection locked="0"/>
    </xf>
    <xf numFmtId="0" fontId="1" fillId="0" borderId="8" xfId="0" applyFont="1" applyBorder="1" applyAlignment="1">
      <alignment horizontal="right"/>
    </xf>
    <xf numFmtId="0" fontId="2" fillId="0" borderId="7" xfId="0" applyFont="1" applyBorder="1" applyAlignment="1"/>
    <xf numFmtId="0" fontId="2" fillId="0" borderId="21" xfId="0" applyFont="1" applyBorder="1" applyAlignment="1"/>
    <xf numFmtId="0" fontId="2" fillId="0" borderId="10" xfId="0" applyFont="1" applyBorder="1" applyAlignment="1"/>
    <xf numFmtId="0" fontId="0" fillId="0" borderId="0" xfId="0" applyProtection="1">
      <protection locked="0"/>
    </xf>
    <xf numFmtId="56" fontId="0" fillId="0" borderId="0" xfId="0" applyNumberFormat="1" applyProtection="1">
      <protection locked="0"/>
    </xf>
    <xf numFmtId="20" fontId="0" fillId="3" borderId="25" xfId="0" applyNumberFormat="1" applyFill="1" applyBorder="1" applyProtection="1">
      <protection locked="0"/>
    </xf>
    <xf numFmtId="0" fontId="0" fillId="0" borderId="0" xfId="0" applyProtection="1"/>
    <xf numFmtId="179" fontId="26" fillId="0" borderId="0" xfId="0" applyNumberFormat="1" applyFont="1"/>
    <xf numFmtId="0" fontId="27" fillId="0" borderId="0" xfId="1"/>
    <xf numFmtId="0" fontId="28" fillId="0" borderId="0" xfId="1" applyFont="1" applyAlignment="1">
      <alignment horizontal="center"/>
    </xf>
    <xf numFmtId="0" fontId="27" fillId="0" borderId="0" xfId="1" applyAlignment="1">
      <alignment horizontal="center"/>
    </xf>
    <xf numFmtId="0" fontId="29" fillId="0" borderId="0" xfId="1" applyFont="1" applyAlignment="1">
      <alignment horizontal="center"/>
    </xf>
    <xf numFmtId="0" fontId="27" fillId="0" borderId="0" xfId="1" applyAlignment="1">
      <alignment horizontal="right"/>
    </xf>
    <xf numFmtId="0" fontId="27" fillId="0" borderId="34" xfId="1" applyBorder="1"/>
    <xf numFmtId="0" fontId="27" fillId="0" borderId="35" xfId="1" applyBorder="1"/>
    <xf numFmtId="0" fontId="27" fillId="0" borderId="36" xfId="1" applyBorder="1"/>
    <xf numFmtId="0" fontId="27" fillId="0" borderId="37" xfId="1" applyBorder="1"/>
    <xf numFmtId="0" fontId="27" fillId="0" borderId="0" xfId="1" applyBorder="1"/>
    <xf numFmtId="0" fontId="27" fillId="0" borderId="0" xfId="1" applyBorder="1" applyAlignment="1">
      <alignment vertical="center"/>
    </xf>
    <xf numFmtId="0" fontId="27" fillId="0" borderId="0" xfId="1" applyBorder="1" applyAlignment="1">
      <alignment horizontal="center" vertical="center"/>
    </xf>
    <xf numFmtId="0" fontId="27" fillId="4" borderId="34" xfId="1" applyFill="1" applyBorder="1"/>
    <xf numFmtId="0" fontId="27" fillId="4" borderId="38" xfId="1" applyFill="1" applyBorder="1"/>
    <xf numFmtId="0" fontId="27" fillId="4" borderId="35" xfId="1" applyFill="1" applyBorder="1"/>
    <xf numFmtId="0" fontId="27" fillId="4" borderId="39" xfId="1" applyFill="1" applyBorder="1"/>
    <xf numFmtId="0" fontId="27" fillId="4" borderId="40" xfId="1" applyFill="1" applyBorder="1"/>
    <xf numFmtId="0" fontId="27" fillId="3" borderId="31" xfId="1" applyFill="1" applyBorder="1" applyAlignment="1">
      <alignment horizontal="center"/>
    </xf>
    <xf numFmtId="0" fontId="27" fillId="0" borderId="0" xfId="1" applyBorder="1" applyAlignment="1">
      <alignment horizontal="right"/>
    </xf>
    <xf numFmtId="0" fontId="27" fillId="0" borderId="0" xfId="1" applyBorder="1" applyAlignment="1">
      <alignment horizontal="center"/>
    </xf>
    <xf numFmtId="0" fontId="27" fillId="0" borderId="0" xfId="1" applyFill="1" applyBorder="1" applyAlignment="1">
      <alignment horizontal="right"/>
    </xf>
    <xf numFmtId="0" fontId="24" fillId="0" borderId="0" xfId="1" applyFont="1" applyAlignment="1">
      <alignment vertical="center"/>
    </xf>
    <xf numFmtId="180" fontId="24" fillId="0" borderId="0" xfId="1" applyNumberFormat="1" applyFont="1" applyAlignment="1">
      <alignment vertical="center"/>
    </xf>
    <xf numFmtId="181" fontId="24" fillId="0" borderId="0" xfId="1" applyNumberFormat="1" applyFont="1" applyAlignment="1">
      <alignment vertical="center"/>
    </xf>
    <xf numFmtId="0" fontId="24" fillId="0" borderId="0" xfId="1" applyFont="1" applyAlignment="1">
      <alignment horizontal="left" vertical="center"/>
    </xf>
    <xf numFmtId="0" fontId="31" fillId="0" borderId="0" xfId="1" applyFont="1" applyAlignment="1">
      <alignment vertical="center"/>
    </xf>
    <xf numFmtId="0" fontId="24" fillId="5" borderId="1" xfId="1" applyFont="1" applyFill="1" applyBorder="1" applyAlignment="1">
      <alignment vertical="center"/>
    </xf>
    <xf numFmtId="0" fontId="24" fillId="0" borderId="1" xfId="1" applyFont="1" applyBorder="1" applyAlignment="1">
      <alignment horizontal="center" vertical="center"/>
    </xf>
    <xf numFmtId="180" fontId="24" fillId="0" borderId="1" xfId="1" applyNumberFormat="1" applyFont="1" applyBorder="1" applyAlignment="1">
      <alignment vertical="center"/>
    </xf>
    <xf numFmtId="0" fontId="24" fillId="0" borderId="1" xfId="1" applyFont="1" applyBorder="1" applyAlignment="1">
      <alignment vertical="center"/>
    </xf>
    <xf numFmtId="0" fontId="24" fillId="0" borderId="28" xfId="1" applyFont="1" applyBorder="1" applyAlignment="1">
      <alignment horizontal="center" vertical="center"/>
    </xf>
    <xf numFmtId="0" fontId="24" fillId="0" borderId="28" xfId="1" applyFont="1" applyBorder="1" applyAlignment="1">
      <alignment vertical="center"/>
    </xf>
    <xf numFmtId="180" fontId="24" fillId="0" borderId="28" xfId="1" applyNumberFormat="1" applyFont="1" applyBorder="1" applyAlignment="1">
      <alignment vertical="center"/>
    </xf>
    <xf numFmtId="181" fontId="24" fillId="0" borderId="1" xfId="1" applyNumberFormat="1" applyFont="1" applyBorder="1" applyAlignment="1">
      <alignment vertical="center"/>
    </xf>
    <xf numFmtId="0" fontId="24" fillId="0" borderId="41" xfId="1" applyFont="1" applyBorder="1" applyAlignment="1">
      <alignment vertical="center"/>
    </xf>
    <xf numFmtId="0" fontId="24" fillId="0" borderId="0" xfId="1" applyFont="1" applyBorder="1" applyAlignment="1">
      <alignment horizontal="center" vertical="center"/>
    </xf>
    <xf numFmtId="180" fontId="24" fillId="0" borderId="0" xfId="1" applyNumberFormat="1" applyFont="1" applyBorder="1" applyAlignment="1">
      <alignment vertical="center"/>
    </xf>
    <xf numFmtId="181" fontId="24" fillId="0" borderId="0" xfId="1" applyNumberFormat="1" applyFont="1" applyBorder="1" applyAlignment="1">
      <alignment vertical="center"/>
    </xf>
    <xf numFmtId="0" fontId="24" fillId="0" borderId="0" xfId="1" applyFont="1" applyBorder="1" applyAlignment="1">
      <alignment vertical="center"/>
    </xf>
    <xf numFmtId="180" fontId="24" fillId="0" borderId="42" xfId="1" applyNumberFormat="1" applyFont="1" applyBorder="1" applyAlignment="1">
      <alignment vertical="center"/>
    </xf>
    <xf numFmtId="0" fontId="24" fillId="0" borderId="43" xfId="1" applyFont="1" applyBorder="1" applyAlignment="1">
      <alignment vertical="center"/>
    </xf>
    <xf numFmtId="0" fontId="31" fillId="0" borderId="43" xfId="1" applyFont="1" applyBorder="1" applyAlignment="1">
      <alignment vertical="center"/>
    </xf>
    <xf numFmtId="180" fontId="24" fillId="0" borderId="1" xfId="1" applyNumberFormat="1" applyFont="1" applyBorder="1" applyAlignment="1">
      <alignment horizontal="center" vertical="center"/>
    </xf>
    <xf numFmtId="0" fontId="24" fillId="0" borderId="44" xfId="1" applyFont="1" applyBorder="1" applyAlignment="1">
      <alignment vertical="center"/>
    </xf>
    <xf numFmtId="0" fontId="24" fillId="0" borderId="45" xfId="1" applyFont="1" applyBorder="1" applyAlignment="1">
      <alignment vertical="center"/>
    </xf>
    <xf numFmtId="0" fontId="31" fillId="0" borderId="46" xfId="1" applyFont="1" applyBorder="1" applyAlignment="1">
      <alignment vertical="center"/>
    </xf>
    <xf numFmtId="180" fontId="24" fillId="0" borderId="28" xfId="1" applyNumberFormat="1" applyFont="1" applyBorder="1" applyAlignment="1">
      <alignment horizontal="center" vertical="center"/>
    </xf>
    <xf numFmtId="0" fontId="24" fillId="0" borderId="47" xfId="1" applyFont="1" applyBorder="1" applyAlignment="1">
      <alignment vertical="center"/>
    </xf>
    <xf numFmtId="0" fontId="24" fillId="0" borderId="48" xfId="1" applyFont="1" applyBorder="1" applyAlignment="1">
      <alignment vertical="center"/>
    </xf>
    <xf numFmtId="0" fontId="31" fillId="0" borderId="48" xfId="1" applyFont="1" applyBorder="1" applyAlignment="1">
      <alignment vertical="center"/>
    </xf>
    <xf numFmtId="0" fontId="24" fillId="0" borderId="49" xfId="1" applyFont="1" applyBorder="1" applyAlignment="1">
      <alignment vertical="center"/>
    </xf>
    <xf numFmtId="0" fontId="24" fillId="0" borderId="41" xfId="1" applyFont="1" applyBorder="1" applyAlignment="1">
      <alignment horizontal="center" vertical="center"/>
    </xf>
    <xf numFmtId="0" fontId="24" fillId="0" borderId="42" xfId="1" applyFont="1" applyBorder="1" applyAlignment="1">
      <alignment vertical="center"/>
    </xf>
    <xf numFmtId="0" fontId="24" fillId="0" borderId="50" xfId="1" applyFont="1" applyBorder="1" applyAlignment="1">
      <alignment vertical="center"/>
    </xf>
    <xf numFmtId="0" fontId="32" fillId="0" borderId="1" xfId="1" applyFont="1" applyBorder="1" applyAlignment="1">
      <alignment vertical="center"/>
    </xf>
    <xf numFmtId="182" fontId="31" fillId="0" borderId="0" xfId="1" applyNumberFormat="1" applyFont="1" applyAlignment="1">
      <alignment vertical="center"/>
    </xf>
    <xf numFmtId="0" fontId="24" fillId="0" borderId="0" xfId="1" applyFont="1" applyAlignment="1">
      <alignment horizontal="center" vertical="center"/>
    </xf>
    <xf numFmtId="0" fontId="24" fillId="0" borderId="0" xfId="1" applyFont="1" applyAlignment="1">
      <alignment horizontal="right"/>
    </xf>
    <xf numFmtId="0" fontId="31" fillId="0" borderId="0" xfId="1" applyFont="1" applyAlignment="1">
      <alignment horizontal="center" vertical="center"/>
    </xf>
    <xf numFmtId="183" fontId="24" fillId="0" borderId="0" xfId="1" applyNumberFormat="1" applyFont="1" applyAlignment="1">
      <alignment vertical="center"/>
    </xf>
    <xf numFmtId="0" fontId="24" fillId="0" borderId="0" xfId="1" applyFont="1" applyAlignment="1">
      <alignment horizontal="right" vertical="center"/>
    </xf>
    <xf numFmtId="0" fontId="24" fillId="5" borderId="44" xfId="1" applyFont="1" applyFill="1" applyBorder="1" applyAlignment="1">
      <alignment vertical="center"/>
    </xf>
    <xf numFmtId="0" fontId="24" fillId="5" borderId="46" xfId="1" applyFont="1" applyFill="1" applyBorder="1" applyAlignment="1">
      <alignment vertical="center"/>
    </xf>
    <xf numFmtId="0" fontId="24" fillId="0" borderId="0" xfId="1" quotePrefix="1" applyFont="1" applyAlignment="1">
      <alignment horizontal="right" vertical="center"/>
    </xf>
    <xf numFmtId="0" fontId="24" fillId="0" borderId="0" xfId="1" quotePrefix="1" applyFont="1" applyAlignment="1">
      <alignment vertical="center"/>
    </xf>
    <xf numFmtId="0" fontId="26" fillId="0" borderId="0" xfId="0" applyFont="1" applyBorder="1" applyAlignment="1"/>
    <xf numFmtId="0" fontId="12" fillId="0" borderId="0" xfId="0" applyNumberFormat="1" applyFont="1" applyBorder="1" applyAlignment="1"/>
    <xf numFmtId="0" fontId="12" fillId="0" borderId="11" xfId="0" applyNumberFormat="1" applyFont="1" applyBorder="1" applyAlignment="1"/>
    <xf numFmtId="0" fontId="2" fillId="0" borderId="5" xfId="0" applyNumberFormat="1" applyFont="1" applyBorder="1" applyAlignment="1">
      <alignment horizontal="right" vertical="center"/>
    </xf>
    <xf numFmtId="0" fontId="5" fillId="0" borderId="0" xfId="0" applyFont="1" applyBorder="1" applyAlignment="1"/>
    <xf numFmtId="179" fontId="21" fillId="0" borderId="2" xfId="0" applyNumberFormat="1" applyFont="1" applyBorder="1" applyAlignment="1">
      <alignment horizontal="center" vertical="center"/>
    </xf>
    <xf numFmtId="176" fontId="8" fillId="0" borderId="7" xfId="0" applyNumberFormat="1" applyFont="1" applyBorder="1" applyAlignment="1">
      <alignment horizontal="center"/>
    </xf>
    <xf numFmtId="0" fontId="12" fillId="0" borderId="0" xfId="0" applyFont="1" applyAlignment="1">
      <alignment horizontal="left"/>
    </xf>
    <xf numFmtId="49" fontId="12" fillId="0" borderId="0" xfId="0" applyNumberFormat="1" applyFont="1" applyAlignment="1">
      <alignment horizontal="left"/>
    </xf>
    <xf numFmtId="176" fontId="8" fillId="0" borderId="10" xfId="0" applyNumberFormat="1" applyFont="1" applyBorder="1" applyAlignment="1">
      <alignment horizontal="distributed" vertical="center"/>
    </xf>
    <xf numFmtId="0" fontId="0" fillId="0" borderId="11" xfId="0" applyBorder="1" applyAlignment="1">
      <alignment horizontal="distributed" vertical="center"/>
    </xf>
    <xf numFmtId="0" fontId="0" fillId="0" borderId="12" xfId="0" applyBorder="1" applyAlignment="1">
      <alignment horizontal="distributed" vertical="center"/>
    </xf>
    <xf numFmtId="177" fontId="2" fillId="0" borderId="0" xfId="0" quotePrefix="1" applyNumberFormat="1" applyFont="1" applyAlignment="1">
      <alignment horizontal="right" vertical="center"/>
    </xf>
    <xf numFmtId="0" fontId="0" fillId="0" borderId="0" xfId="0" applyAlignment="1">
      <alignment horizontal="right" vertical="center"/>
    </xf>
    <xf numFmtId="0" fontId="17" fillId="0" borderId="4" xfId="0" applyFont="1" applyBorder="1" applyAlignment="1">
      <alignment horizontal="center" vertical="center" wrapText="1"/>
    </xf>
    <xf numFmtId="0" fontId="0" fillId="0" borderId="3" xfId="0" applyBorder="1" applyAlignment="1">
      <alignment horizontal="center" vertical="center" wrapText="1"/>
    </xf>
    <xf numFmtId="0" fontId="18" fillId="0" borderId="7" xfId="0" applyFont="1" applyBorder="1" applyAlignment="1" applyProtection="1">
      <alignment vertical="center" wrapText="1"/>
      <protection locked="0"/>
    </xf>
    <xf numFmtId="0" fontId="16" fillId="0" borderId="8" xfId="0" applyFont="1" applyBorder="1" applyAlignment="1">
      <alignment vertical="center" wrapText="1"/>
    </xf>
    <xf numFmtId="0" fontId="16" fillId="0" borderId="9" xfId="0" applyFont="1" applyBorder="1" applyAlignment="1">
      <alignment vertical="center" wrapText="1"/>
    </xf>
    <xf numFmtId="0" fontId="16" fillId="0" borderId="21" xfId="0" applyFont="1" applyBorder="1" applyAlignment="1">
      <alignment vertical="center" wrapText="1"/>
    </xf>
    <xf numFmtId="0" fontId="16" fillId="0" borderId="0" xfId="0" applyFont="1" applyAlignment="1">
      <alignment vertical="center" wrapText="1"/>
    </xf>
    <xf numFmtId="0" fontId="16" fillId="0" borderId="22" xfId="0" applyFont="1" applyBorder="1" applyAlignment="1">
      <alignment vertical="center" wrapText="1"/>
    </xf>
    <xf numFmtId="0" fontId="16" fillId="0" borderId="10" xfId="0" applyFont="1" applyBorder="1" applyAlignment="1">
      <alignment vertical="center" wrapText="1"/>
    </xf>
    <xf numFmtId="0" fontId="16" fillId="0" borderId="11" xfId="0" applyFont="1" applyBorder="1" applyAlignment="1">
      <alignment vertical="center" wrapText="1"/>
    </xf>
    <xf numFmtId="0" fontId="16" fillId="0" borderId="12" xfId="0" applyFont="1" applyBorder="1" applyAlignment="1">
      <alignment vertical="center" wrapText="1"/>
    </xf>
    <xf numFmtId="0" fontId="18" fillId="0" borderId="4" xfId="0" applyFont="1" applyBorder="1" applyAlignment="1">
      <alignment horizontal="distributed" vertical="center"/>
    </xf>
    <xf numFmtId="0" fontId="0" fillId="0" borderId="2" xfId="0" applyBorder="1" applyAlignment="1">
      <alignment horizontal="distributed" vertical="center"/>
    </xf>
    <xf numFmtId="0" fontId="0" fillId="0" borderId="3" xfId="0" applyBorder="1" applyAlignment="1">
      <alignment horizontal="distributed" vertical="center"/>
    </xf>
    <xf numFmtId="184" fontId="2" fillId="0" borderId="23" xfId="0" applyNumberFormat="1" applyFont="1" applyBorder="1" applyAlignment="1" applyProtection="1">
      <alignment horizontal="right" vertical="center"/>
      <protection locked="0"/>
    </xf>
    <xf numFmtId="0" fontId="0" fillId="0" borderId="24" xfId="0" applyBorder="1" applyAlignment="1">
      <alignment horizontal="right" vertical="center"/>
    </xf>
    <xf numFmtId="0" fontId="0" fillId="0" borderId="5" xfId="0" applyBorder="1" applyAlignment="1">
      <alignment horizontal="right" vertical="center"/>
    </xf>
    <xf numFmtId="0" fontId="2" fillId="0" borderId="23" xfId="0" applyFont="1" applyBorder="1" applyAlignment="1">
      <alignment horizontal="center" vertical="center"/>
    </xf>
    <xf numFmtId="0" fontId="0" fillId="0" borderId="5" xfId="0" applyBorder="1" applyAlignment="1">
      <alignment horizontal="center" vertical="center"/>
    </xf>
    <xf numFmtId="0" fontId="16" fillId="0" borderId="7" xfId="0" applyFont="1" applyBorder="1" applyAlignment="1">
      <alignment vertical="center" wrapText="1"/>
    </xf>
    <xf numFmtId="176" fontId="1" fillId="0" borderId="10" xfId="0" applyNumberFormat="1" applyFont="1" applyBorder="1" applyAlignment="1">
      <alignment horizontal="distributed" vertical="center"/>
    </xf>
    <xf numFmtId="0" fontId="16" fillId="0" borderId="7" xfId="0" applyFont="1" applyBorder="1" applyAlignment="1" applyProtection="1">
      <alignment vertical="center" wrapText="1"/>
      <protection locked="0"/>
    </xf>
    <xf numFmtId="0" fontId="1" fillId="0" borderId="7" xfId="0" applyFont="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49" fontId="1" fillId="0" borderId="23" xfId="0" applyNumberFormat="1" applyFont="1" applyBorder="1" applyAlignment="1">
      <alignment horizontal="center" vertical="center"/>
    </xf>
    <xf numFmtId="0" fontId="16" fillId="0" borderId="4" xfId="0" applyFont="1" applyBorder="1" applyAlignment="1">
      <alignment horizontal="distributed" vertical="center" wrapText="1"/>
    </xf>
    <xf numFmtId="0" fontId="0" fillId="0" borderId="2" xfId="0" applyBorder="1" applyAlignment="1">
      <alignment horizontal="distributed" vertical="center" wrapText="1"/>
    </xf>
    <xf numFmtId="0" fontId="0" fillId="0" borderId="3" xfId="0" applyBorder="1" applyAlignment="1">
      <alignment horizontal="distributed" vertical="center" wrapText="1"/>
    </xf>
    <xf numFmtId="0" fontId="2" fillId="0" borderId="23" xfId="0" applyNumberFormat="1" applyFont="1" applyBorder="1" applyAlignment="1" applyProtection="1">
      <alignment horizontal="right" vertical="center"/>
    </xf>
    <xf numFmtId="176" fontId="9" fillId="0" borderId="10" xfId="0" applyNumberFormat="1" applyFont="1" applyBorder="1" applyAlignment="1">
      <alignment horizontal="distributed" vertical="center"/>
    </xf>
    <xf numFmtId="49" fontId="1" fillId="0" borderId="4" xfId="0" applyNumberFormat="1"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vertical="center" textRotation="255"/>
    </xf>
    <xf numFmtId="0" fontId="1" fillId="0" borderId="3" xfId="0" applyFont="1" applyBorder="1" applyAlignment="1">
      <alignment vertical="center" textRotation="255"/>
    </xf>
    <xf numFmtId="0" fontId="27" fillId="3" borderId="29" xfId="1" applyFill="1" applyBorder="1" applyAlignment="1">
      <alignment horizontal="center" vertical="center" wrapText="1"/>
    </xf>
    <xf numFmtId="0" fontId="27" fillId="0" borderId="30" xfId="1" applyBorder="1" applyAlignment="1">
      <alignment horizontal="center" vertical="center"/>
    </xf>
    <xf numFmtId="0" fontId="27" fillId="0" borderId="31" xfId="1" applyBorder="1" applyAlignment="1">
      <alignment horizontal="center" vertical="center"/>
    </xf>
    <xf numFmtId="0" fontId="27" fillId="3" borderId="29" xfId="1" applyFill="1" applyBorder="1" applyAlignment="1">
      <alignment horizontal="center" vertical="center"/>
    </xf>
    <xf numFmtId="0" fontId="27" fillId="6" borderId="29" xfId="1" applyFill="1" applyBorder="1" applyAlignment="1">
      <alignment horizontal="center" vertical="center"/>
    </xf>
    <xf numFmtId="0" fontId="27" fillId="6" borderId="30" xfId="1" applyFill="1" applyBorder="1" applyAlignment="1">
      <alignment horizontal="center" vertical="center"/>
    </xf>
    <xf numFmtId="0" fontId="27" fillId="6" borderId="31" xfId="1" applyFill="1" applyBorder="1" applyAlignment="1">
      <alignment horizontal="center" vertical="center"/>
    </xf>
    <xf numFmtId="0" fontId="27" fillId="3" borderId="31" xfId="1" applyFill="1" applyBorder="1" applyAlignment="1">
      <alignment horizontal="center" vertical="center"/>
    </xf>
    <xf numFmtId="182" fontId="27" fillId="3" borderId="29" xfId="1" applyNumberFormat="1" applyFill="1" applyBorder="1" applyAlignment="1">
      <alignment horizontal="center" vertical="center" wrapText="1"/>
    </xf>
    <xf numFmtId="182" fontId="27" fillId="0" borderId="30" xfId="1" applyNumberFormat="1" applyBorder="1" applyAlignment="1">
      <alignment horizontal="center" vertical="center"/>
    </xf>
    <xf numFmtId="182" fontId="27" fillId="0" borderId="31" xfId="1" applyNumberFormat="1" applyBorder="1" applyAlignment="1">
      <alignment horizontal="center" vertical="center"/>
    </xf>
    <xf numFmtId="182" fontId="27" fillId="3" borderId="29" xfId="1" applyNumberFormat="1" applyFill="1" applyBorder="1" applyAlignment="1">
      <alignment horizontal="center" vertical="center"/>
    </xf>
    <xf numFmtId="182" fontId="27" fillId="3" borderId="31" xfId="1" applyNumberFormat="1" applyFill="1" applyBorder="1" applyAlignment="1">
      <alignment horizontal="center" vertical="center"/>
    </xf>
    <xf numFmtId="0" fontId="30" fillId="7" borderId="29" xfId="1" applyFont="1" applyFill="1" applyBorder="1" applyAlignment="1">
      <alignment horizontal="center" vertical="center"/>
    </xf>
    <xf numFmtId="0" fontId="30" fillId="7" borderId="30" xfId="1" applyFont="1" applyFill="1" applyBorder="1" applyAlignment="1">
      <alignment horizontal="center" vertical="center"/>
    </xf>
    <xf numFmtId="0" fontId="30" fillId="7" borderId="31" xfId="1" applyFont="1" applyFill="1" applyBorder="1" applyAlignment="1">
      <alignment horizontal="center" vertical="center"/>
    </xf>
    <xf numFmtId="0" fontId="30" fillId="0" borderId="30" xfId="1" applyFont="1" applyBorder="1" applyAlignment="1">
      <alignment horizontal="center" vertical="center"/>
    </xf>
    <xf numFmtId="0" fontId="30" fillId="0" borderId="31" xfId="1" applyFont="1" applyBorder="1" applyAlignment="1">
      <alignment horizontal="center" vertical="center"/>
    </xf>
    <xf numFmtId="0" fontId="27" fillId="0" borderId="30" xfId="1" applyBorder="1" applyAlignment="1">
      <alignment horizontal="center" vertical="center" wrapText="1"/>
    </xf>
    <xf numFmtId="0" fontId="27" fillId="0" borderId="31" xfId="1" applyBorder="1" applyAlignment="1">
      <alignment horizontal="center" vertical="center" wrapText="1"/>
    </xf>
    <xf numFmtId="0" fontId="30" fillId="7" borderId="51" xfId="1" applyFont="1" applyFill="1" applyBorder="1" applyAlignment="1">
      <alignment horizontal="center" vertical="center" wrapText="1"/>
    </xf>
    <xf numFmtId="0" fontId="27" fillId="0" borderId="52" xfId="1" applyBorder="1" applyAlignment="1">
      <alignment horizontal="center" vertical="center" wrapText="1"/>
    </xf>
    <xf numFmtId="0" fontId="27" fillId="0" borderId="53" xfId="1" applyBorder="1" applyAlignment="1">
      <alignment horizontal="center" vertical="center" wrapText="1"/>
    </xf>
    <xf numFmtId="0" fontId="27" fillId="6" borderId="34" xfId="1" applyFill="1" applyBorder="1" applyAlignment="1">
      <alignment horizontal="center" vertical="center"/>
    </xf>
    <xf numFmtId="0" fontId="27" fillId="6" borderId="35" xfId="1" applyFill="1" applyBorder="1" applyAlignment="1">
      <alignment horizontal="center" vertical="center"/>
    </xf>
    <xf numFmtId="0" fontId="27" fillId="6" borderId="36" xfId="1" applyFill="1" applyBorder="1" applyAlignment="1">
      <alignment horizontal="center" vertical="center"/>
    </xf>
  </cellXfs>
  <cellStyles count="2">
    <cellStyle name="標準" xfId="0" builtinId="0"/>
    <cellStyle name="標準_残業時間集計"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8BD21D40-EC42-11CE-9E0D-00AA006002F3}" r:id="rId1"/>
</file>

<file path=xl/activeX/activeX35.xml><?xml version="1.0" encoding="utf-8"?>
<ax:ocx xmlns:ax="http://schemas.microsoft.com/office/2006/activeX" xmlns:r="http://schemas.openxmlformats.org/officeDocument/2006/relationships" ax:classid="{8BD21D40-EC42-11CE-9E0D-00AA006002F3}" r:id="rId1"/>
</file>

<file path=xl/activeX/activeX36.xml><?xml version="1.0" encoding="utf-8"?>
<ax:ocx xmlns:ax="http://schemas.microsoft.com/office/2006/activeX" xmlns:r="http://schemas.openxmlformats.org/officeDocument/2006/relationships" ax:classid="{8BD21D40-EC42-11CE-9E0D-00AA006002F3}" r:id="rId1"/>
</file>

<file path=xl/activeX/activeX37.xml><?xml version="1.0" encoding="utf-8"?>
<ax:ocx xmlns:ax="http://schemas.microsoft.com/office/2006/activeX" xmlns:r="http://schemas.openxmlformats.org/officeDocument/2006/relationships" ax:classid="{8BD21D40-EC42-11CE-9E0D-00AA006002F3}" r:id="rId1"/>
</file>

<file path=xl/activeX/activeX38.xml><?xml version="1.0" encoding="utf-8"?>
<ax:ocx xmlns:ax="http://schemas.microsoft.com/office/2006/activeX" xmlns:r="http://schemas.openxmlformats.org/officeDocument/2006/relationships" ax:classid="{8BD21D40-EC42-11CE-9E0D-00AA006002F3}" r:id="rId1"/>
</file>

<file path=xl/activeX/activeX39.xml><?xml version="1.0" encoding="utf-8"?>
<ax:ocx xmlns:ax="http://schemas.microsoft.com/office/2006/activeX" xmlns:r="http://schemas.openxmlformats.org/officeDocument/2006/relationships" ax:classid="{8BD21D40-EC42-11CE-9E0D-00AA006002F3}" r:id="rId1"/>
</file>

<file path=xl/activeX/activeX40.xml><?xml version="1.0" encoding="utf-8"?>
<ax:ocx xmlns:ax="http://schemas.microsoft.com/office/2006/activeX" xmlns:r="http://schemas.openxmlformats.org/officeDocument/2006/relationships" ax:classid="{8BD21D40-EC42-11CE-9E0D-00AA006002F3}" r:id="rId1"/>
</file>

<file path=xl/activeX/activeX41.xml><?xml version="1.0" encoding="utf-8"?>
<ax:ocx xmlns:ax="http://schemas.microsoft.com/office/2006/activeX" xmlns:r="http://schemas.openxmlformats.org/officeDocument/2006/relationships" ax:classid="{8BD21D40-EC42-11CE-9E0D-00AA006002F3}" r:id="rId1"/>
</file>

<file path=xl/activeX/activeX42.xml><?xml version="1.0" encoding="utf-8"?>
<ax:ocx xmlns:ax="http://schemas.microsoft.com/office/2006/activeX" xmlns:r="http://schemas.openxmlformats.org/officeDocument/2006/relationships" ax:classid="{8BD21D40-EC42-11CE-9E0D-00AA006002F3}" r:id="rId1"/>
</file>

<file path=xl/activeX/activeX43.xml><?xml version="1.0" encoding="utf-8"?>
<ax:ocx xmlns:ax="http://schemas.microsoft.com/office/2006/activeX" xmlns:r="http://schemas.openxmlformats.org/officeDocument/2006/relationships" ax:classid="{8BD21D40-EC42-11CE-9E0D-00AA006002F3}" r:id="rId1"/>
</file>

<file path=xl/activeX/activeX44.xml><?xml version="1.0" encoding="utf-8"?>
<ax:ocx xmlns:ax="http://schemas.microsoft.com/office/2006/activeX" xmlns:r="http://schemas.openxmlformats.org/officeDocument/2006/relationships" ax:classid="{8BD21D40-EC42-11CE-9E0D-00AA006002F3}" r:id="rId1"/>
</file>

<file path=xl/activeX/activeX45.xml><?xml version="1.0" encoding="utf-8"?>
<ax:ocx xmlns:ax="http://schemas.microsoft.com/office/2006/activeX" xmlns:r="http://schemas.openxmlformats.org/officeDocument/2006/relationships" ax:classid="{8BD21D40-EC42-11CE-9E0D-00AA006002F3}" r:id="rId1"/>
</file>

<file path=xl/activeX/activeX46.xml><?xml version="1.0" encoding="utf-8"?>
<ax:ocx xmlns:ax="http://schemas.microsoft.com/office/2006/activeX" xmlns:r="http://schemas.openxmlformats.org/officeDocument/2006/relationships" ax:classid="{8BD21D40-EC42-11CE-9E0D-00AA006002F3}" r:id="rId1"/>
</file>

<file path=xl/activeX/activeX47.xml><?xml version="1.0" encoding="utf-8"?>
<ax:ocx xmlns:ax="http://schemas.microsoft.com/office/2006/activeX" xmlns:r="http://schemas.openxmlformats.org/officeDocument/2006/relationships" ax:classid="{8BD21D40-EC42-11CE-9E0D-00AA006002F3}" r:id="rId1"/>
</file>

<file path=xl/activeX/activeX48.xml><?xml version="1.0" encoding="utf-8"?>
<ax:ocx xmlns:ax="http://schemas.microsoft.com/office/2006/activeX" xmlns:r="http://schemas.openxmlformats.org/officeDocument/2006/relationships" ax:classid="{8BD21D40-EC42-11CE-9E0D-00AA006002F3}" r:id="rId1"/>
</file>

<file path=xl/activeX/activeX49.xml><?xml version="1.0" encoding="utf-8"?>
<ax:ocx xmlns:ax="http://schemas.microsoft.com/office/2006/activeX" xmlns:r="http://schemas.openxmlformats.org/officeDocument/2006/relationships" ax:classid="{8BD21D40-EC42-11CE-9E0D-00AA006002F3}" r:id="rId1"/>
</file>

<file path=xl/activeX/activeX50.xml><?xml version="1.0" encoding="utf-8"?>
<ax:ocx xmlns:ax="http://schemas.microsoft.com/office/2006/activeX" xmlns:r="http://schemas.openxmlformats.org/officeDocument/2006/relationships" ax:classid="{8BD21D40-EC42-11CE-9E0D-00AA006002F3}" r:id="rId1"/>
</file>

<file path=xl/activeX/activeX51.xml><?xml version="1.0" encoding="utf-8"?>
<ax:ocx xmlns:ax="http://schemas.microsoft.com/office/2006/activeX" xmlns:r="http://schemas.openxmlformats.org/officeDocument/2006/relationships" ax:classid="{8BD21D40-EC42-11CE-9E0D-00AA006002F3}" r:id="rId1"/>
</file>

<file path=xl/activeX/activeX52.xml><?xml version="1.0" encoding="utf-8"?>
<ax:ocx xmlns:ax="http://schemas.microsoft.com/office/2006/activeX" xmlns:r="http://schemas.openxmlformats.org/officeDocument/2006/relationships" ax:classid="{8BD21D40-EC42-11CE-9E0D-00AA006002F3}" r:id="rId1"/>
</file>

<file path=xl/activeX/activeX53.xml><?xml version="1.0" encoding="utf-8"?>
<ax:ocx xmlns:ax="http://schemas.microsoft.com/office/2006/activeX" xmlns:r="http://schemas.openxmlformats.org/officeDocument/2006/relationships" ax:classid="{8BD21D40-EC42-11CE-9E0D-00AA006002F3}" r:id="rId1"/>
</file>

<file path=xl/activeX/activeX54.xml><?xml version="1.0" encoding="utf-8"?>
<ax:ocx xmlns:ax="http://schemas.microsoft.com/office/2006/activeX" xmlns:r="http://schemas.openxmlformats.org/officeDocument/2006/relationships" ax:classid="{8BD21D40-EC42-11CE-9E0D-00AA006002F3}" r:id="rId1"/>
</file>

<file path=xl/activeX/activeX55.xml><?xml version="1.0" encoding="utf-8"?>
<ax:ocx xmlns:ax="http://schemas.microsoft.com/office/2006/activeX" xmlns:r="http://schemas.openxmlformats.org/officeDocument/2006/relationships" ax:classid="{8BD21D40-EC42-11CE-9E0D-00AA006002F3}" r:id="rId1"/>
</file>

<file path=xl/activeX/activeX56.xml><?xml version="1.0" encoding="utf-8"?>
<ax:ocx xmlns:ax="http://schemas.microsoft.com/office/2006/activeX" xmlns:r="http://schemas.openxmlformats.org/officeDocument/2006/relationships" ax:classid="{8BD21D40-EC42-11CE-9E0D-00AA006002F3}" r:id="rId1"/>
</file>

<file path=xl/activeX/activeX57.xml><?xml version="1.0" encoding="utf-8"?>
<ax:ocx xmlns:ax="http://schemas.microsoft.com/office/2006/activeX" xmlns:r="http://schemas.openxmlformats.org/officeDocument/2006/relationships" ax:classid="{8BD21D40-EC42-11CE-9E0D-00AA006002F3}" r:id="rId1"/>
</file>

<file path=xl/activeX/activeX58.xml><?xml version="1.0" encoding="utf-8"?>
<ax:ocx xmlns:ax="http://schemas.microsoft.com/office/2006/activeX" xmlns:r="http://schemas.openxmlformats.org/officeDocument/2006/relationships" ax:classid="{8BD21D40-EC42-11CE-9E0D-00AA006002F3}" r:id="rId1"/>
</file>

<file path=xl/activeX/activeX59.xml><?xml version="1.0" encoding="utf-8"?>
<ax:ocx xmlns:ax="http://schemas.microsoft.com/office/2006/activeX" xmlns:r="http://schemas.openxmlformats.org/officeDocument/2006/relationships" ax:classid="{8BD21D40-EC42-11CE-9E0D-00AA006002F3}" r:id="rId1"/>
</file>

<file path=xl/activeX/activeX60.xml><?xml version="1.0" encoding="utf-8"?>
<ax:ocx xmlns:ax="http://schemas.microsoft.com/office/2006/activeX" xmlns:r="http://schemas.openxmlformats.org/officeDocument/2006/relationships" ax:classid="{8BD21D40-EC42-11CE-9E0D-00AA006002F3}" r:id="rId1"/>
</file>

<file path=xl/activeX/activeX61.xml><?xml version="1.0" encoding="utf-8"?>
<ax:ocx xmlns:ax="http://schemas.microsoft.com/office/2006/activeX" xmlns:r="http://schemas.openxmlformats.org/officeDocument/2006/relationships" ax:classid="{8BD21D40-EC42-11CE-9E0D-00AA006002F3}" r:id="rId1"/>
</file>

<file path=xl/activeX/activeX62.xml><?xml version="1.0" encoding="utf-8"?>
<ax:ocx xmlns:ax="http://schemas.microsoft.com/office/2006/activeX" xmlns:r="http://schemas.openxmlformats.org/officeDocument/2006/relationships" ax:classid="{8BD21D40-EC42-11CE-9E0D-00AA006002F3}" r:id="rId1"/>
</file>

<file path=xl/activeX/activeX63.xml><?xml version="1.0" encoding="utf-8"?>
<ax:ocx xmlns:ax="http://schemas.microsoft.com/office/2006/activeX" xmlns:r="http://schemas.openxmlformats.org/officeDocument/2006/relationships" ax:classid="{8BD21D40-EC42-11CE-9E0D-00AA006002F3}" r:id="rId1"/>
</file>

<file path=xl/activeX/activeX64.xml><?xml version="1.0" encoding="utf-8"?>
<ax:ocx xmlns:ax="http://schemas.microsoft.com/office/2006/activeX" xmlns:r="http://schemas.openxmlformats.org/officeDocument/2006/relationships" ax:classid="{8BD21D40-EC42-11CE-9E0D-00AA006002F3}" r:id="rId1"/>
</file>

<file path=xl/activeX/activeX65.xml><?xml version="1.0" encoding="utf-8"?>
<ax:ocx xmlns:ax="http://schemas.microsoft.com/office/2006/activeX" xmlns:r="http://schemas.openxmlformats.org/officeDocument/2006/relationships" ax:classid="{8BD21D40-EC42-11CE-9E0D-00AA006002F3}" r:id="rId1"/>
</file>

<file path=xl/activeX/activeX66.xml><?xml version="1.0" encoding="utf-8"?>
<ax:ocx xmlns:ax="http://schemas.microsoft.com/office/2006/activeX" xmlns:r="http://schemas.openxmlformats.org/officeDocument/2006/relationships" ax:classid="{8BD21D40-EC42-11CE-9E0D-00AA006002F3}" r:id="rId1"/>
</file>

<file path=xl/activeX/activeX67.xml><?xml version="1.0" encoding="utf-8"?>
<ax:ocx xmlns:ax="http://schemas.microsoft.com/office/2006/activeX" xmlns:r="http://schemas.openxmlformats.org/officeDocument/2006/relationships" ax:classid="{8BD21D40-EC42-11CE-9E0D-00AA006002F3}" r:id="rId1"/>
</file>

<file path=xl/activeX/activeX68.xml><?xml version="1.0" encoding="utf-8"?>
<ax:ocx xmlns:ax="http://schemas.microsoft.com/office/2006/activeX" xmlns:r="http://schemas.openxmlformats.org/officeDocument/2006/relationships" ax:classid="{8BD21D40-EC42-11CE-9E0D-00AA006002F3}" r:id="rId1"/>
</file>

<file path=xl/activeX/activeX69.xml><?xml version="1.0" encoding="utf-8"?>
<ax:ocx xmlns:ax="http://schemas.microsoft.com/office/2006/activeX" xmlns:r="http://schemas.openxmlformats.org/officeDocument/2006/relationships" ax:classid="{8BD21D40-EC42-11CE-9E0D-00AA006002F3}" r:id="rId1"/>
</file>

<file path=xl/activeX/activeX70.xml><?xml version="1.0" encoding="utf-8"?>
<ax:ocx xmlns:ax="http://schemas.microsoft.com/office/2006/activeX" xmlns:r="http://schemas.openxmlformats.org/officeDocument/2006/relationships" ax:classid="{8BD21D40-EC42-11CE-9E0D-00AA006002F3}" r:id="rId1"/>
</file>

<file path=xl/activeX/activeX71.xml><?xml version="1.0" encoding="utf-8"?>
<ax:ocx xmlns:ax="http://schemas.microsoft.com/office/2006/activeX" xmlns:r="http://schemas.openxmlformats.org/officeDocument/2006/relationships" ax:classid="{8BD21D40-EC42-11CE-9E0D-00AA006002F3}" r:id="rId1"/>
</file>

<file path=xl/activeX/activeX72.xml><?xml version="1.0" encoding="utf-8"?>
<ax:ocx xmlns:ax="http://schemas.microsoft.com/office/2006/activeX" xmlns:r="http://schemas.openxmlformats.org/officeDocument/2006/relationships" ax:classid="{8BD21D40-EC42-11CE-9E0D-00AA006002F3}" r:id="rId1"/>
</file>

<file path=xl/activeX/activeX73.xml><?xml version="1.0" encoding="utf-8"?>
<ax:ocx xmlns:ax="http://schemas.microsoft.com/office/2006/activeX" xmlns:r="http://schemas.openxmlformats.org/officeDocument/2006/relationships" ax:classid="{8BD21D40-EC42-11CE-9E0D-00AA006002F3}" r:id="rId1"/>
</file>

<file path=xl/activeX/activeX74.xml><?xml version="1.0" encoding="utf-8"?>
<ax:ocx xmlns:ax="http://schemas.microsoft.com/office/2006/activeX" xmlns:r="http://schemas.openxmlformats.org/officeDocument/2006/relationships" ax:classid="{8BD21D40-EC42-11CE-9E0D-00AA006002F3}" r:id="rId1"/>
</file>

<file path=xl/activeX/activeX75.xml><?xml version="1.0" encoding="utf-8"?>
<ax:ocx xmlns:ax="http://schemas.microsoft.com/office/2006/activeX" xmlns:r="http://schemas.openxmlformats.org/officeDocument/2006/relationships" ax:classid="{8BD21D40-EC42-11CE-9E0D-00AA006002F3}" r:id="rId1"/>
</file>

<file path=xl/activeX/activeX76.xml><?xml version="1.0" encoding="utf-8"?>
<ax:ocx xmlns:ax="http://schemas.microsoft.com/office/2006/activeX" xmlns:r="http://schemas.openxmlformats.org/officeDocument/2006/relationships" ax:classid="{8BD21D40-EC42-11CE-9E0D-00AA006002F3}" r:id="rId1"/>
</file>

<file path=xl/activeX/activeX77.xml><?xml version="1.0" encoding="utf-8"?>
<ax:ocx xmlns:ax="http://schemas.microsoft.com/office/2006/activeX" xmlns:r="http://schemas.openxmlformats.org/officeDocument/2006/relationships" ax:classid="{8BD21D40-EC42-11CE-9E0D-00AA006002F3}" r:id="rId1"/>
</file>

<file path=xl/activeX/activeX78.xml><?xml version="1.0" encoding="utf-8"?>
<ax:ocx xmlns:ax="http://schemas.microsoft.com/office/2006/activeX" xmlns:r="http://schemas.openxmlformats.org/officeDocument/2006/relationships" ax:classid="{8BD21D40-EC42-11CE-9E0D-00AA006002F3}" r:id="rId1"/>
</file>

<file path=xl/activeX/activeX79.xml><?xml version="1.0" encoding="utf-8"?>
<ax:ocx xmlns:ax="http://schemas.microsoft.com/office/2006/activeX" xmlns:r="http://schemas.openxmlformats.org/officeDocument/2006/relationships" ax:classid="{8BD21D40-EC42-11CE-9E0D-00AA006002F3}" r:id="rId1"/>
</file>

<file path=xl/activeX/activeX80.xml><?xml version="1.0" encoding="utf-8"?>
<ax:ocx xmlns:ax="http://schemas.microsoft.com/office/2006/activeX" xmlns:r="http://schemas.openxmlformats.org/officeDocument/2006/relationships" ax:classid="{8BD21D40-EC42-11CE-9E0D-00AA006002F3}" r:id="rId1"/>
</file>

<file path=xl/activeX/activeX81.xml><?xml version="1.0" encoding="utf-8"?>
<ax:ocx xmlns:ax="http://schemas.microsoft.com/office/2006/activeX" xmlns:r="http://schemas.openxmlformats.org/officeDocument/2006/relationships" ax:classid="{8BD21D40-EC42-11CE-9E0D-00AA006002F3}" r:id="rId1"/>
</file>

<file path=xl/activeX/activeX82.xml><?xml version="1.0" encoding="utf-8"?>
<ax:ocx xmlns:ax="http://schemas.microsoft.com/office/2006/activeX" xmlns:r="http://schemas.openxmlformats.org/officeDocument/2006/relationships" ax:classid="{8BD21D40-EC42-11CE-9E0D-00AA006002F3}" r:id="rId1"/>
</file>

<file path=xl/activeX/activeX83.xml><?xml version="1.0" encoding="utf-8"?>
<ax:ocx xmlns:ax="http://schemas.microsoft.com/office/2006/activeX" xmlns:r="http://schemas.openxmlformats.org/officeDocument/2006/relationships" ax:classid="{8BD21D40-EC42-11CE-9E0D-00AA006002F3}" r:id="rId1"/>
</file>

<file path=xl/activeX/activeX84.xml><?xml version="1.0" encoding="utf-8"?>
<ax:ocx xmlns:ax="http://schemas.microsoft.com/office/2006/activeX" xmlns:r="http://schemas.openxmlformats.org/officeDocument/2006/relationships" ax:classid="{8BD21D40-EC42-11CE-9E0D-00AA006002F3}" r:id="rId1"/>
</file>

<file path=xl/activeX/activeX85.xml><?xml version="1.0" encoding="utf-8"?>
<ax:ocx xmlns:ax="http://schemas.microsoft.com/office/2006/activeX" xmlns:r="http://schemas.openxmlformats.org/officeDocument/2006/relationships" ax:classid="{8BD21D40-EC42-11CE-9E0D-00AA006002F3}" r:id="rId1"/>
</file>

<file path=xl/activeX/activeX86.xml><?xml version="1.0" encoding="utf-8"?>
<ax:ocx xmlns:ax="http://schemas.microsoft.com/office/2006/activeX" xmlns:r="http://schemas.openxmlformats.org/officeDocument/2006/relationships" ax:classid="{8BD21D40-EC42-11CE-9E0D-00AA006002F3}" r:id="rId1"/>
</file>

<file path=xl/activeX/activeX87.xml><?xml version="1.0" encoding="utf-8"?>
<ax:ocx xmlns:ax="http://schemas.microsoft.com/office/2006/activeX" xmlns:r="http://schemas.openxmlformats.org/officeDocument/2006/relationships" ax:classid="{8BD21D40-EC42-11CE-9E0D-00AA006002F3}" r:id="rId1"/>
</file>

<file path=xl/activeX/activeX88.xml><?xml version="1.0" encoding="utf-8"?>
<ax:ocx xmlns:ax="http://schemas.microsoft.com/office/2006/activeX" xmlns:r="http://schemas.openxmlformats.org/officeDocument/2006/relationships" ax:classid="{8BD21D40-EC42-11CE-9E0D-00AA006002F3}" r:id="rId1"/>
</file>

<file path=xl/activeX/activeX89.xml><?xml version="1.0" encoding="utf-8"?>
<ax:ocx xmlns:ax="http://schemas.microsoft.com/office/2006/activeX" xmlns:r="http://schemas.openxmlformats.org/officeDocument/2006/relationships" ax:classid="{8BD21D40-EC42-11CE-9E0D-00AA006002F3}" r:id="rId1"/>
</file>

<file path=xl/activeX/activeX90.xml><?xml version="1.0" encoding="utf-8"?>
<ax:ocx xmlns:ax="http://schemas.microsoft.com/office/2006/activeX" xmlns:r="http://schemas.openxmlformats.org/officeDocument/2006/relationships" ax:classid="{8BD21D40-EC42-11CE-9E0D-00AA006002F3}" r:id="rId1"/>
</file>

<file path=xl/activeX/activeX91.xml><?xml version="1.0" encoding="utf-8"?>
<ax:ocx xmlns:ax="http://schemas.microsoft.com/office/2006/activeX" xmlns:r="http://schemas.openxmlformats.org/officeDocument/2006/relationships" ax:classid="{8BD21D40-EC42-11CE-9E0D-00AA006002F3}" r:id="rId1"/>
</file>

<file path=xl/activeX/activeX92.xml><?xml version="1.0" encoding="utf-8"?>
<ax:ocx xmlns:ax="http://schemas.microsoft.com/office/2006/activeX" xmlns:r="http://schemas.openxmlformats.org/officeDocument/2006/relationships" ax:classid="{8BD21D40-EC42-11CE-9E0D-00AA006002F3}" r:id="rId1"/>
</file>

<file path=xl/activeX/activeX93.xml><?xml version="1.0" encoding="utf-8"?>
<ax:ocx xmlns:ax="http://schemas.microsoft.com/office/2006/activeX" xmlns:r="http://schemas.openxmlformats.org/officeDocument/2006/relationships" ax:classid="{8BD21D40-EC42-11CE-9E0D-00AA006002F3}" r:id="rId1"/>
</file>

<file path=xl/activeX/activeX94.xml><?xml version="1.0" encoding="utf-8"?>
<ax:ocx xmlns:ax="http://schemas.microsoft.com/office/2006/activeX" xmlns:r="http://schemas.openxmlformats.org/officeDocument/2006/relationships" ax:classid="{8BD21D40-EC42-11CE-9E0D-00AA006002F3}" r:id="rId1"/>
</file>

<file path=xl/activeX/activeX95.xml><?xml version="1.0" encoding="utf-8"?>
<ax:ocx xmlns:ax="http://schemas.microsoft.com/office/2006/activeX" xmlns:r="http://schemas.openxmlformats.org/officeDocument/2006/relationships" ax:classid="{8BD21D40-EC42-11CE-9E0D-00AA006002F3}" r:id="rId1"/>
</file>

<file path=xl/activeX/activeX96.xml><?xml version="1.0" encoding="utf-8"?>
<ax:ocx xmlns:ax="http://schemas.microsoft.com/office/2006/activeX" xmlns:r="http://schemas.openxmlformats.org/officeDocument/2006/relationships" ax:classid="{8BD21D40-EC42-11CE-9E0D-00AA006002F3}" r:id="rId1"/>
</file>

<file path=xl/activeX/activeX97.xml><?xml version="1.0" encoding="utf-8"?>
<ax:ocx xmlns:ax="http://schemas.microsoft.com/office/2006/activeX" xmlns:r="http://schemas.openxmlformats.org/officeDocument/2006/relationships" ax:classid="{8BD21D40-EC42-11CE-9E0D-00AA006002F3}" r:id="rId1"/>
</file>

<file path=xl/activeX/activeX98.xml><?xml version="1.0" encoding="utf-8"?>
<ax:ocx xmlns:ax="http://schemas.microsoft.com/office/2006/activeX" xmlns:r="http://schemas.openxmlformats.org/officeDocument/2006/relationships" ax:classid="{8BD21D40-EC42-11CE-9E0D-00AA006002F3}" r:id="rId1"/>
</file>

<file path=xl/activeX/activeX99.xml><?xml version="1.0" encoding="utf-8"?>
<ax:ocx xmlns:ax="http://schemas.microsoft.com/office/2006/activeX" xmlns:r="http://schemas.openxmlformats.org/officeDocument/2006/relationships" ax:classid="{8BD21D40-EC42-11CE-9E0D-00AA006002F3}" r:id="rId1"/>
</file>

<file path=xl/activeX/activeX100.xml><?xml version="1.0" encoding="utf-8"?>
<ax:ocx xmlns:ax="http://schemas.microsoft.com/office/2006/activeX" xmlns:r="http://schemas.openxmlformats.org/officeDocument/2006/relationships" ax:classid="{8BD21D40-EC42-11CE-9E0D-00AA006002F3}" r:id="rId1"/>
</file>

<file path=xl/activeX/activeX101.xml><?xml version="1.0" encoding="utf-8"?>
<ax:ocx xmlns:ax="http://schemas.microsoft.com/office/2006/activeX" xmlns:r="http://schemas.openxmlformats.org/officeDocument/2006/relationships" ax:classid="{8BD21D40-EC42-11CE-9E0D-00AA006002F3}" r:id="rId1"/>
</file>

<file path=xl/activeX/activeX102.xml><?xml version="1.0" encoding="utf-8"?>
<ax:ocx xmlns:ax="http://schemas.microsoft.com/office/2006/activeX" xmlns:r="http://schemas.openxmlformats.org/officeDocument/2006/relationships" ax:classid="{8BD21D40-EC42-11CE-9E0D-00AA006002F3}" r:id="rId1"/>
</file>

<file path=xl/activeX/activeX103.xml><?xml version="1.0" encoding="utf-8"?>
<ax:ocx xmlns:ax="http://schemas.microsoft.com/office/2006/activeX" xmlns:r="http://schemas.openxmlformats.org/officeDocument/2006/relationships" ax:classid="{8BD21D40-EC42-11CE-9E0D-00AA006002F3}" r:id="rId1"/>
</file>

<file path=xl/activeX/activeX104.xml><?xml version="1.0" encoding="utf-8"?>
<ax:ocx xmlns:ax="http://schemas.microsoft.com/office/2006/activeX" xmlns:r="http://schemas.openxmlformats.org/officeDocument/2006/relationships" ax:classid="{8BD21D40-EC42-11CE-9E0D-00AA006002F3}" r:id="rId1"/>
</file>

<file path=xl/activeX/activeX105.xml><?xml version="1.0" encoding="utf-8"?>
<ax:ocx xmlns:ax="http://schemas.microsoft.com/office/2006/activeX" xmlns:r="http://schemas.openxmlformats.org/officeDocument/2006/relationships" ax:classid="{8BD21D40-EC42-11CE-9E0D-00AA006002F3}" r:id="rId1"/>
</file>

<file path=xl/activeX/activeX106.xml><?xml version="1.0" encoding="utf-8"?>
<ax:ocx xmlns:ax="http://schemas.microsoft.com/office/2006/activeX" xmlns:r="http://schemas.openxmlformats.org/officeDocument/2006/relationships" ax:classid="{8BD21D40-EC42-11CE-9E0D-00AA006002F3}" r:id="rId1"/>
</file>

<file path=xl/activeX/activeX107.xml><?xml version="1.0" encoding="utf-8"?>
<ax:ocx xmlns:ax="http://schemas.microsoft.com/office/2006/activeX" xmlns:r="http://schemas.openxmlformats.org/officeDocument/2006/relationships" ax:classid="{8BD21D40-EC42-11CE-9E0D-00AA006002F3}" r:id="rId1"/>
</file>

<file path=xl/activeX/activeX108.xml><?xml version="1.0" encoding="utf-8"?>
<ax:ocx xmlns:ax="http://schemas.microsoft.com/office/2006/activeX" xmlns:r="http://schemas.openxmlformats.org/officeDocument/2006/relationships" ax:classid="{8BD21D40-EC42-11CE-9E0D-00AA006002F3}" r:id="rId1"/>
</file>

<file path=xl/activeX/activeX109.xml><?xml version="1.0" encoding="utf-8"?>
<ax:ocx xmlns:ax="http://schemas.microsoft.com/office/2006/activeX" xmlns:r="http://schemas.openxmlformats.org/officeDocument/2006/relationships" ax:classid="{8BD21D40-EC42-11CE-9E0D-00AA006002F3}" r:id="rId1"/>
</file>

<file path=xl/activeX/activeX110.xml><?xml version="1.0" encoding="utf-8"?>
<ax:ocx xmlns:ax="http://schemas.microsoft.com/office/2006/activeX" xmlns:r="http://schemas.openxmlformats.org/officeDocument/2006/relationships" ax:classid="{8BD21D40-EC42-11CE-9E0D-00AA006002F3}" r:id="rId1"/>
</file>

<file path=xl/activeX/activeX111.xml><?xml version="1.0" encoding="utf-8"?>
<ax:ocx xmlns:ax="http://schemas.microsoft.com/office/2006/activeX" xmlns:r="http://schemas.openxmlformats.org/officeDocument/2006/relationships" ax:classid="{8BD21D40-EC42-11CE-9E0D-00AA006002F3}" r:id="rId1"/>
</file>

<file path=xl/activeX/activeX112.xml><?xml version="1.0" encoding="utf-8"?>
<ax:ocx xmlns:ax="http://schemas.microsoft.com/office/2006/activeX" xmlns:r="http://schemas.openxmlformats.org/officeDocument/2006/relationships" ax:classid="{8BD21D40-EC42-11CE-9E0D-00AA006002F3}" r:id="rId1"/>
</file>

<file path=xl/activeX/activeX113.xml><?xml version="1.0" encoding="utf-8"?>
<ax:ocx xmlns:ax="http://schemas.microsoft.com/office/2006/activeX" xmlns:r="http://schemas.openxmlformats.org/officeDocument/2006/relationships" ax:classid="{8BD21D40-EC42-11CE-9E0D-00AA006002F3}" r:id="rId1"/>
</file>

<file path=xl/activeX/activeX114.xml><?xml version="1.0" encoding="utf-8"?>
<ax:ocx xmlns:ax="http://schemas.microsoft.com/office/2006/activeX" xmlns:r="http://schemas.openxmlformats.org/officeDocument/2006/relationships" ax:classid="{8BD21D40-EC42-11CE-9E0D-00AA006002F3}" r:id="rId1"/>
</file>

<file path=xl/activeX/activeX115.xml><?xml version="1.0" encoding="utf-8"?>
<ax:ocx xmlns:ax="http://schemas.microsoft.com/office/2006/activeX" xmlns:r="http://schemas.openxmlformats.org/officeDocument/2006/relationships" ax:classid="{8BD21D40-EC42-11CE-9E0D-00AA006002F3}" r:id="rId1"/>
</file>

<file path=xl/activeX/activeX116.xml><?xml version="1.0" encoding="utf-8"?>
<ax:ocx xmlns:ax="http://schemas.microsoft.com/office/2006/activeX" xmlns:r="http://schemas.openxmlformats.org/officeDocument/2006/relationships" ax:classid="{8BD21D40-EC42-11CE-9E0D-00AA006002F3}" r:id="rId1"/>
</file>

<file path=xl/activeX/activeX117.xml><?xml version="1.0" encoding="utf-8"?>
<ax:ocx xmlns:ax="http://schemas.microsoft.com/office/2006/activeX" xmlns:r="http://schemas.openxmlformats.org/officeDocument/2006/relationships" ax:classid="{8BD21D40-EC42-11CE-9E0D-00AA006002F3}" r:id="rId1"/>
</file>

<file path=xl/activeX/activeX118.xml><?xml version="1.0" encoding="utf-8"?>
<ax:ocx xmlns:ax="http://schemas.microsoft.com/office/2006/activeX" xmlns:r="http://schemas.openxmlformats.org/officeDocument/2006/relationships" ax:classid="{8BD21D40-EC42-11CE-9E0D-00AA006002F3}" r:id="rId1"/>
</file>

<file path=xl/activeX/activeX119.xml><?xml version="1.0" encoding="utf-8"?>
<ax:ocx xmlns:ax="http://schemas.microsoft.com/office/2006/activeX" xmlns:r="http://schemas.openxmlformats.org/officeDocument/2006/relationships" ax:classid="{8BD21D40-EC42-11CE-9E0D-00AA006002F3}" r:id="rId1"/>
</file>

<file path=xl/activeX/activeX120.xml><?xml version="1.0" encoding="utf-8"?>
<ax:ocx xmlns:ax="http://schemas.microsoft.com/office/2006/activeX" xmlns:r="http://schemas.openxmlformats.org/officeDocument/2006/relationships" ax:classid="{8BD21D40-EC42-11CE-9E0D-00AA006002F3}" r:id="rId1"/>
</file>

<file path=xl/activeX/activeX121.xml><?xml version="1.0" encoding="utf-8"?>
<ax:ocx xmlns:ax="http://schemas.microsoft.com/office/2006/activeX" xmlns:r="http://schemas.openxmlformats.org/officeDocument/2006/relationships" ax:classid="{8BD21D40-EC42-11CE-9E0D-00AA006002F3}" r:id="rId1"/>
</file>

<file path=xl/activeX/activeX122.xml><?xml version="1.0" encoding="utf-8"?>
<ax:ocx xmlns:ax="http://schemas.microsoft.com/office/2006/activeX" xmlns:r="http://schemas.openxmlformats.org/officeDocument/2006/relationships" ax:classid="{8BD21D40-EC42-11CE-9E0D-00AA006002F3}" r:id="rId1"/>
</file>

<file path=xl/activeX/activeX123.xml><?xml version="1.0" encoding="utf-8"?>
<ax:ocx xmlns:ax="http://schemas.microsoft.com/office/2006/activeX" xmlns:r="http://schemas.openxmlformats.org/officeDocument/2006/relationships" ax:classid="{8BD21D40-EC42-11CE-9E0D-00AA006002F3}" r:id="rId1"/>
</file>

<file path=xl/activeX/activeX124.xml><?xml version="1.0" encoding="utf-8"?>
<ax:ocx xmlns:ax="http://schemas.microsoft.com/office/2006/activeX" xmlns:r="http://schemas.openxmlformats.org/officeDocument/2006/relationships" ax:classid="{8BD21D40-EC42-11CE-9E0D-00AA006002F3}" r:id="rId1"/>
</file>

<file path=xl/activeX/activeX125.xml><?xml version="1.0" encoding="utf-8"?>
<ax:ocx xmlns:ax="http://schemas.microsoft.com/office/2006/activeX" xmlns:r="http://schemas.openxmlformats.org/officeDocument/2006/relationships" ax:classid="{8BD21D40-EC42-11CE-9E0D-00AA006002F3}" r:id="rId1"/>
</file>

<file path=xl/activeX/activeX126.xml><?xml version="1.0" encoding="utf-8"?>
<ax:ocx xmlns:ax="http://schemas.microsoft.com/office/2006/activeX" xmlns:r="http://schemas.openxmlformats.org/officeDocument/2006/relationships" ax:classid="{8BD21D40-EC42-11CE-9E0D-00AA006002F3}" r:id="rId1"/>
</file>

<file path=xl/activeX/activeX127.xml><?xml version="1.0" encoding="utf-8"?>
<ax:ocx xmlns:ax="http://schemas.microsoft.com/office/2006/activeX" xmlns:r="http://schemas.openxmlformats.org/officeDocument/2006/relationships" ax:classid="{8BD21D40-EC42-11CE-9E0D-00AA006002F3}" r:id="rId1"/>
</file>

<file path=xl/activeX/activeX128.xml><?xml version="1.0" encoding="utf-8"?>
<ax:ocx xmlns:ax="http://schemas.microsoft.com/office/2006/activeX" xmlns:r="http://schemas.openxmlformats.org/officeDocument/2006/relationships" ax:classid="{8BD21D40-EC42-11CE-9E0D-00AA006002F3}" r:id="rId1"/>
</file>

<file path=xl/activeX/activeX129.xml><?xml version="1.0" encoding="utf-8"?>
<ax:ocx xmlns:ax="http://schemas.microsoft.com/office/2006/activeX" xmlns:r="http://schemas.openxmlformats.org/officeDocument/2006/relationships" ax:classid="{8BD21D40-EC42-11CE-9E0D-00AA006002F3}" r:id="rId1"/>
</file>

<file path=xl/activeX/activeX130.xml><?xml version="1.0" encoding="utf-8"?>
<ax:ocx xmlns:ax="http://schemas.microsoft.com/office/2006/activeX" xmlns:r="http://schemas.openxmlformats.org/officeDocument/2006/relationships" ax:classid="{8BD21D40-EC42-11CE-9E0D-00AA006002F3}" r:id="rId1"/>
</file>

<file path=xl/activeX/activeX131.xml><?xml version="1.0" encoding="utf-8"?>
<ax:ocx xmlns:ax="http://schemas.microsoft.com/office/2006/activeX" xmlns:r="http://schemas.openxmlformats.org/officeDocument/2006/relationships" ax:classid="{8BD21D40-EC42-11CE-9E0D-00AA006002F3}" r:id="rId1"/>
</file>

<file path=xl/activeX/activeX132.xml><?xml version="1.0" encoding="utf-8"?>
<ax:ocx xmlns:ax="http://schemas.microsoft.com/office/2006/activeX" xmlns:r="http://schemas.openxmlformats.org/officeDocument/2006/relationships" ax:classid="{8BD21D40-EC42-11CE-9E0D-00AA006002F3}" r:id="rId1"/>
</file>

<file path=xl/activeX/activeX133.xml><?xml version="1.0" encoding="utf-8"?>
<ax:ocx xmlns:ax="http://schemas.microsoft.com/office/2006/activeX" xmlns:r="http://schemas.openxmlformats.org/officeDocument/2006/relationships" ax:classid="{8BD21D40-EC42-11CE-9E0D-00AA006002F3}" r:id="rId1"/>
</file>

<file path=xl/activeX/activeX134.xml><?xml version="1.0" encoding="utf-8"?>
<ax:ocx xmlns:ax="http://schemas.microsoft.com/office/2006/activeX" xmlns:r="http://schemas.openxmlformats.org/officeDocument/2006/relationships" ax:classid="{8BD21D40-EC42-11CE-9E0D-00AA006002F3}" r:id="rId1"/>
</file>

<file path=xl/activeX/activeX135.xml><?xml version="1.0" encoding="utf-8"?>
<ax:ocx xmlns:ax="http://schemas.microsoft.com/office/2006/activeX" xmlns:r="http://schemas.openxmlformats.org/officeDocument/2006/relationships" ax:classid="{8BD21D40-EC42-11CE-9E0D-00AA006002F3}" r:id="rId1"/>
</file>

<file path=xl/activeX/activeX136.xml><?xml version="1.0" encoding="utf-8"?>
<ax:ocx xmlns:ax="http://schemas.microsoft.com/office/2006/activeX" xmlns:r="http://schemas.openxmlformats.org/officeDocument/2006/relationships" ax:classid="{8BD21D40-EC42-11CE-9E0D-00AA006002F3}" r:id="rId1"/>
</file>

<file path=xl/activeX/activeX137.xml><?xml version="1.0" encoding="utf-8"?>
<ax:ocx xmlns:ax="http://schemas.microsoft.com/office/2006/activeX" xmlns:r="http://schemas.openxmlformats.org/officeDocument/2006/relationships" ax:classid="{8BD21D40-EC42-11CE-9E0D-00AA006002F3}" r:id="rId1"/>
</file>

<file path=xl/activeX/activeX138.xml><?xml version="1.0" encoding="utf-8"?>
<ax:ocx xmlns:ax="http://schemas.microsoft.com/office/2006/activeX" xmlns:r="http://schemas.openxmlformats.org/officeDocument/2006/relationships" ax:classid="{8BD21D40-EC42-11CE-9E0D-00AA006002F3}" r:id="rId1"/>
</file>

<file path=xl/activeX/activeX139.xml><?xml version="1.0" encoding="utf-8"?>
<ax:ocx xmlns:ax="http://schemas.microsoft.com/office/2006/activeX" xmlns:r="http://schemas.openxmlformats.org/officeDocument/2006/relationships" ax:classid="{8BD21D40-EC42-11CE-9E0D-00AA006002F3}" r:id="rId1"/>
</file>

<file path=xl/activeX/activeX140.xml><?xml version="1.0" encoding="utf-8"?>
<ax:ocx xmlns:ax="http://schemas.microsoft.com/office/2006/activeX" xmlns:r="http://schemas.openxmlformats.org/officeDocument/2006/relationships" ax:classid="{8BD21D40-EC42-11CE-9E0D-00AA006002F3}" r:id="rId1"/>
</file>

<file path=xl/activeX/activeX141.xml><?xml version="1.0" encoding="utf-8"?>
<ax:ocx xmlns:ax="http://schemas.microsoft.com/office/2006/activeX" xmlns:r="http://schemas.openxmlformats.org/officeDocument/2006/relationships" ax:classid="{8BD21D40-EC42-11CE-9E0D-00AA006002F3}" r:id="rId1"/>
</file>

<file path=xl/activeX/activeX142.xml><?xml version="1.0" encoding="utf-8"?>
<ax:ocx xmlns:ax="http://schemas.microsoft.com/office/2006/activeX" xmlns:r="http://schemas.openxmlformats.org/officeDocument/2006/relationships" ax:classid="{8BD21D40-EC42-11CE-9E0D-00AA006002F3}" r:id="rId1"/>
</file>

<file path=xl/activeX/activeX143.xml><?xml version="1.0" encoding="utf-8"?>
<ax:ocx xmlns:ax="http://schemas.microsoft.com/office/2006/activeX" xmlns:r="http://schemas.openxmlformats.org/officeDocument/2006/relationships" ax:classid="{8BD21D40-EC42-11CE-9E0D-00AA006002F3}" r:id="rId1"/>
</file>

<file path=xl/activeX/activeX144.xml><?xml version="1.0" encoding="utf-8"?>
<ax:ocx xmlns:ax="http://schemas.microsoft.com/office/2006/activeX" xmlns:r="http://schemas.openxmlformats.org/officeDocument/2006/relationships" ax:classid="{8BD21D40-EC42-11CE-9E0D-00AA006002F3}" r:id="rId1"/>
</file>

<file path=xl/activeX/activeX145.xml><?xml version="1.0" encoding="utf-8"?>
<ax:ocx xmlns:ax="http://schemas.microsoft.com/office/2006/activeX" xmlns:r="http://schemas.openxmlformats.org/officeDocument/2006/relationships" ax:classid="{8BD21D40-EC42-11CE-9E0D-00AA006002F3}" r:id="rId1"/>
</file>

<file path=xl/activeX/activeX146.xml><?xml version="1.0" encoding="utf-8"?>
<ax:ocx xmlns:ax="http://schemas.microsoft.com/office/2006/activeX" xmlns:r="http://schemas.openxmlformats.org/officeDocument/2006/relationships" ax:classid="{8BD21D40-EC42-11CE-9E0D-00AA006002F3}" r:id="rId1"/>
</file>

<file path=xl/activeX/activeX147.xml><?xml version="1.0" encoding="utf-8"?>
<ax:ocx xmlns:ax="http://schemas.microsoft.com/office/2006/activeX" xmlns:r="http://schemas.openxmlformats.org/officeDocument/2006/relationships" ax:classid="{8BD21D40-EC42-11CE-9E0D-00AA006002F3}" r:id="rId1"/>
</file>

<file path=xl/activeX/activeX148.xml><?xml version="1.0" encoding="utf-8"?>
<ax:ocx xmlns:ax="http://schemas.microsoft.com/office/2006/activeX" xmlns:r="http://schemas.openxmlformats.org/officeDocument/2006/relationships" ax:classid="{8BD21D40-EC42-11CE-9E0D-00AA006002F3}" r:id="rId1"/>
</file>

<file path=xl/activeX/activeX149.xml><?xml version="1.0" encoding="utf-8"?>
<ax:ocx xmlns:ax="http://schemas.microsoft.com/office/2006/activeX" xmlns:r="http://schemas.openxmlformats.org/officeDocument/2006/relationships" ax:classid="{8BD21D40-EC42-11CE-9E0D-00AA006002F3}" r:id="rId1"/>
</file>

<file path=xl/activeX/activeX150.xml><?xml version="1.0" encoding="utf-8"?>
<ax:ocx xmlns:ax="http://schemas.microsoft.com/office/2006/activeX" xmlns:r="http://schemas.openxmlformats.org/officeDocument/2006/relationships" ax:classid="{8BD21D40-EC42-11CE-9E0D-00AA006002F3}" r:id="rId1"/>
</file>

<file path=xl/activeX/activeX151.xml><?xml version="1.0" encoding="utf-8"?>
<ax:ocx xmlns:ax="http://schemas.microsoft.com/office/2006/activeX" xmlns:r="http://schemas.openxmlformats.org/officeDocument/2006/relationships" ax:classid="{8BD21D40-EC42-11CE-9E0D-00AA006002F3}" r:id="rId1"/>
</file>

<file path=xl/activeX/activeX152.xml><?xml version="1.0" encoding="utf-8"?>
<ax:ocx xmlns:ax="http://schemas.microsoft.com/office/2006/activeX" xmlns:r="http://schemas.openxmlformats.org/officeDocument/2006/relationships" ax:classid="{8BD21D40-EC42-11CE-9E0D-00AA006002F3}" r:id="rId1"/>
</file>

<file path=xl/activeX/activeX153.xml><?xml version="1.0" encoding="utf-8"?>
<ax:ocx xmlns:ax="http://schemas.microsoft.com/office/2006/activeX" xmlns:r="http://schemas.openxmlformats.org/officeDocument/2006/relationships" ax:classid="{8BD21D40-EC42-11CE-9E0D-00AA006002F3}" r:id="rId1"/>
</file>

<file path=xl/activeX/activeX154.xml><?xml version="1.0" encoding="utf-8"?>
<ax:ocx xmlns:ax="http://schemas.microsoft.com/office/2006/activeX" xmlns:r="http://schemas.openxmlformats.org/officeDocument/2006/relationships" ax:classid="{8BD21D40-EC42-11CE-9E0D-00AA006002F3}" r:id="rId1"/>
</file>

<file path=xl/activeX/activeX155.xml><?xml version="1.0" encoding="utf-8"?>
<ax:ocx xmlns:ax="http://schemas.microsoft.com/office/2006/activeX" xmlns:r="http://schemas.openxmlformats.org/officeDocument/2006/relationships" ax:classid="{8BD21D40-EC42-11CE-9E0D-00AA006002F3}" r:id="rId1"/>
</file>

<file path=xl/activeX/activeX156.xml><?xml version="1.0" encoding="utf-8"?>
<ax:ocx xmlns:ax="http://schemas.microsoft.com/office/2006/activeX" xmlns:r="http://schemas.openxmlformats.org/officeDocument/2006/relationships" ax:classid="{8BD21D40-EC42-11CE-9E0D-00AA006002F3}" r:id="rId1"/>
</file>

<file path=xl/activeX/activeX157.xml><?xml version="1.0" encoding="utf-8"?>
<ax:ocx xmlns:ax="http://schemas.microsoft.com/office/2006/activeX" xmlns:r="http://schemas.openxmlformats.org/officeDocument/2006/relationships" ax:classid="{8BD21D40-EC42-11CE-9E0D-00AA006002F3}" r:id="rId1"/>
</file>

<file path=xl/activeX/activeX158.xml><?xml version="1.0" encoding="utf-8"?>
<ax:ocx xmlns:ax="http://schemas.microsoft.com/office/2006/activeX" xmlns:r="http://schemas.openxmlformats.org/officeDocument/2006/relationships" ax:classid="{8BD21D40-EC42-11CE-9E0D-00AA006002F3}" r:id="rId1"/>
</file>

<file path=xl/activeX/activeX159.xml><?xml version="1.0" encoding="utf-8"?>
<ax:ocx xmlns:ax="http://schemas.microsoft.com/office/2006/activeX" xmlns:r="http://schemas.openxmlformats.org/officeDocument/2006/relationships" ax:classid="{8BD21D40-EC42-11CE-9E0D-00AA006002F3}" r:id="rId1"/>
</file>

<file path=xl/activeX/activeX160.xml><?xml version="1.0" encoding="utf-8"?>
<ax:ocx xmlns:ax="http://schemas.microsoft.com/office/2006/activeX" xmlns:r="http://schemas.openxmlformats.org/officeDocument/2006/relationships" ax:classid="{8BD21D40-EC42-11CE-9E0D-00AA006002F3}" r:id="rId1"/>
</file>

<file path=xl/activeX/activeX161.xml><?xml version="1.0" encoding="utf-8"?>
<ax:ocx xmlns:ax="http://schemas.microsoft.com/office/2006/activeX" xmlns:r="http://schemas.openxmlformats.org/officeDocument/2006/relationships" ax:classid="{8BD21D40-EC42-11CE-9E0D-00AA006002F3}" r:id="rId1"/>
</file>

<file path=xl/activeX/activeX162.xml><?xml version="1.0" encoding="utf-8"?>
<ax:ocx xmlns:ax="http://schemas.microsoft.com/office/2006/activeX" xmlns:r="http://schemas.openxmlformats.org/officeDocument/2006/relationships" ax:classid="{8BD21D40-EC42-11CE-9E0D-00AA006002F3}" r:id="rId1"/>
</file>

<file path=xl/activeX/activeX163.xml><?xml version="1.0" encoding="utf-8"?>
<ax:ocx xmlns:ax="http://schemas.microsoft.com/office/2006/activeX" xmlns:r="http://schemas.openxmlformats.org/officeDocument/2006/relationships" ax:classid="{8BD21D40-EC42-11CE-9E0D-00AA006002F3}" r:id="rId1"/>
</file>

<file path=xl/activeX/activeX164.xml><?xml version="1.0" encoding="utf-8"?>
<ax:ocx xmlns:ax="http://schemas.microsoft.com/office/2006/activeX" xmlns:r="http://schemas.openxmlformats.org/officeDocument/2006/relationships" ax:classid="{8BD21D40-EC42-11CE-9E0D-00AA006002F3}" r:id="rId1"/>
</file>

<file path=xl/activeX/activeX165.xml><?xml version="1.0" encoding="utf-8"?>
<ax:ocx xmlns:ax="http://schemas.microsoft.com/office/2006/activeX" xmlns:r="http://schemas.openxmlformats.org/officeDocument/2006/relationships" ax:classid="{8BD21D40-EC42-11CE-9E0D-00AA006002F3}" r:id="rId1"/>
</file>

<file path=xl/activeX/activeX166.xml><?xml version="1.0" encoding="utf-8"?>
<ax:ocx xmlns:ax="http://schemas.microsoft.com/office/2006/activeX" xmlns:r="http://schemas.openxmlformats.org/officeDocument/2006/relationships" ax:classid="{8BD21D40-EC42-11CE-9E0D-00AA006002F3}" r:id="rId1"/>
</file>

<file path=xl/activeX/activeX167.xml><?xml version="1.0" encoding="utf-8"?>
<ax:ocx xmlns:ax="http://schemas.microsoft.com/office/2006/activeX" xmlns:r="http://schemas.openxmlformats.org/officeDocument/2006/relationships" ax:classid="{8BD21D40-EC42-11CE-9E0D-00AA006002F3}" r:id="rId1"/>
</file>

<file path=xl/activeX/activeX168.xml><?xml version="1.0" encoding="utf-8"?>
<ax:ocx xmlns:ax="http://schemas.microsoft.com/office/2006/activeX" xmlns:r="http://schemas.openxmlformats.org/officeDocument/2006/relationships" ax:classid="{8BD21D40-EC42-11CE-9E0D-00AA006002F3}" r:id="rId1"/>
</file>

<file path=xl/activeX/activeX169.xml><?xml version="1.0" encoding="utf-8"?>
<ax:ocx xmlns:ax="http://schemas.microsoft.com/office/2006/activeX" xmlns:r="http://schemas.openxmlformats.org/officeDocument/2006/relationships" ax:classid="{8BD21D40-EC42-11CE-9E0D-00AA006002F3}" r:id="rId1"/>
</file>

<file path=xl/activeX/activeX170.xml><?xml version="1.0" encoding="utf-8"?>
<ax:ocx xmlns:ax="http://schemas.microsoft.com/office/2006/activeX" xmlns:r="http://schemas.openxmlformats.org/officeDocument/2006/relationships" ax:classid="{8BD21D40-EC42-11CE-9E0D-00AA006002F3}" r:id="rId1"/>
</file>

<file path=xl/activeX/activeX171.xml><?xml version="1.0" encoding="utf-8"?>
<ax:ocx xmlns:ax="http://schemas.microsoft.com/office/2006/activeX" xmlns:r="http://schemas.openxmlformats.org/officeDocument/2006/relationships" ax:classid="{8BD21D40-EC42-11CE-9E0D-00AA006002F3}" r:id="rId1"/>
</file>

<file path=xl/activeX/activeX172.xml><?xml version="1.0" encoding="utf-8"?>
<ax:ocx xmlns:ax="http://schemas.microsoft.com/office/2006/activeX" xmlns:r="http://schemas.openxmlformats.org/officeDocument/2006/relationships" ax:classid="{8BD21D40-EC42-11CE-9E0D-00AA006002F3}" r:id="rId1"/>
</file>

<file path=xl/activeX/activeX173.xml><?xml version="1.0" encoding="utf-8"?>
<ax:ocx xmlns:ax="http://schemas.microsoft.com/office/2006/activeX" xmlns:r="http://schemas.openxmlformats.org/officeDocument/2006/relationships" ax:classid="{8BD21D40-EC42-11CE-9E0D-00AA006002F3}" r:id="rId1"/>
</file>

<file path=xl/activeX/activeX174.xml><?xml version="1.0" encoding="utf-8"?>
<ax:ocx xmlns:ax="http://schemas.microsoft.com/office/2006/activeX" xmlns:r="http://schemas.openxmlformats.org/officeDocument/2006/relationships" ax:classid="{8BD21D40-EC42-11CE-9E0D-00AA006002F3}" r:id="rId1"/>
</file>

<file path=xl/activeX/activeX175.xml><?xml version="1.0" encoding="utf-8"?>
<ax:ocx xmlns:ax="http://schemas.microsoft.com/office/2006/activeX" xmlns:r="http://schemas.openxmlformats.org/officeDocument/2006/relationships" ax:classid="{8BD21D40-EC42-11CE-9E0D-00AA006002F3}" r:id="rId1"/>
</file>

<file path=xl/activeX/activeX176.xml><?xml version="1.0" encoding="utf-8"?>
<ax:ocx xmlns:ax="http://schemas.microsoft.com/office/2006/activeX" xmlns:r="http://schemas.openxmlformats.org/officeDocument/2006/relationships" ax:classid="{8BD21D40-EC42-11CE-9E0D-00AA006002F3}" r:id="rId1"/>
</file>

<file path=xl/activeX/activeX177.xml><?xml version="1.0" encoding="utf-8"?>
<ax:ocx xmlns:ax="http://schemas.microsoft.com/office/2006/activeX" xmlns:r="http://schemas.openxmlformats.org/officeDocument/2006/relationships" ax:classid="{8BD21D40-EC42-11CE-9E0D-00AA006002F3}" r:id="rId1"/>
</file>

<file path=xl/activeX/activeX178.xml><?xml version="1.0" encoding="utf-8"?>
<ax:ocx xmlns:ax="http://schemas.microsoft.com/office/2006/activeX" xmlns:r="http://schemas.openxmlformats.org/officeDocument/2006/relationships" ax:classid="{8BD21D40-EC42-11CE-9E0D-00AA006002F3}" r:id="rId1"/>
</file>

<file path=xl/activeX/activeX179.xml><?xml version="1.0" encoding="utf-8"?>
<ax:ocx xmlns:ax="http://schemas.microsoft.com/office/2006/activeX" xmlns:r="http://schemas.openxmlformats.org/officeDocument/2006/relationships" ax:classid="{8BD21D40-EC42-11CE-9E0D-00AA006002F3}" r:id="rId1"/>
</file>

<file path=xl/activeX/activeX180.xml><?xml version="1.0" encoding="utf-8"?>
<ax:ocx xmlns:ax="http://schemas.microsoft.com/office/2006/activeX" xmlns:r="http://schemas.openxmlformats.org/officeDocument/2006/relationships" ax:classid="{8BD21D40-EC42-11CE-9E0D-00AA006002F3}" r:id="rId1"/>
</file>

<file path=xl/activeX/activeX181.xml><?xml version="1.0" encoding="utf-8"?>
<ax:ocx xmlns:ax="http://schemas.microsoft.com/office/2006/activeX" xmlns:r="http://schemas.openxmlformats.org/officeDocument/2006/relationships" ax:classid="{8BD21D40-EC42-11CE-9E0D-00AA006002F3}" r:id="rId1"/>
</file>

<file path=xl/activeX/activeX182.xml><?xml version="1.0" encoding="utf-8"?>
<ax:ocx xmlns:ax="http://schemas.microsoft.com/office/2006/activeX" xmlns:r="http://schemas.openxmlformats.org/officeDocument/2006/relationships" ax:classid="{8BD21D40-EC42-11CE-9E0D-00AA006002F3}" r:id="rId1"/>
</file>

<file path=xl/activeX/activeX183.xml><?xml version="1.0" encoding="utf-8"?>
<ax:ocx xmlns:ax="http://schemas.microsoft.com/office/2006/activeX" xmlns:r="http://schemas.openxmlformats.org/officeDocument/2006/relationships" ax:classid="{8BD21D40-EC42-11CE-9E0D-00AA006002F3}" r:id="rId1"/>
</file>

<file path=xl/activeX/activeX184.xml><?xml version="1.0" encoding="utf-8"?>
<ax:ocx xmlns:ax="http://schemas.microsoft.com/office/2006/activeX" xmlns:r="http://schemas.openxmlformats.org/officeDocument/2006/relationships" ax:classid="{8BD21D40-EC42-11CE-9E0D-00AA006002F3}" r:id="rId1"/>
</file>

<file path=xl/activeX/activeX185.xml><?xml version="1.0" encoding="utf-8"?>
<ax:ocx xmlns:ax="http://schemas.microsoft.com/office/2006/activeX" xmlns:r="http://schemas.openxmlformats.org/officeDocument/2006/relationships" ax:classid="{8BD21D40-EC42-11CE-9E0D-00AA006002F3}" r:id="rId1"/>
</file>

<file path=xl/activeX/activeX186.xml><?xml version="1.0" encoding="utf-8"?>
<ax:ocx xmlns:ax="http://schemas.microsoft.com/office/2006/activeX" xmlns:r="http://schemas.openxmlformats.org/officeDocument/2006/relationships" ax:classid="{8BD21D40-EC42-11CE-9E0D-00AA006002F3}" r:id="rId1"/>
</file>

<file path=xl/activeX/activeX187.xml><?xml version="1.0" encoding="utf-8"?>
<ax:ocx xmlns:ax="http://schemas.microsoft.com/office/2006/activeX" xmlns:r="http://schemas.openxmlformats.org/officeDocument/2006/relationships" ax:classid="{8BD21D40-EC42-11CE-9E0D-00AA006002F3}" r:id="rId1"/>
</file>

<file path=xl/activeX/activeX188.xml><?xml version="1.0" encoding="utf-8"?>
<ax:ocx xmlns:ax="http://schemas.microsoft.com/office/2006/activeX" xmlns:r="http://schemas.openxmlformats.org/officeDocument/2006/relationships" ax:classid="{8BD21D40-EC42-11CE-9E0D-00AA006002F3}" r:id="rId1"/>
</file>

<file path=xl/activeX/activeX189.xml><?xml version="1.0" encoding="utf-8"?>
<ax:ocx xmlns:ax="http://schemas.microsoft.com/office/2006/activeX" xmlns:r="http://schemas.openxmlformats.org/officeDocument/2006/relationships" ax:classid="{8BD21D40-EC42-11CE-9E0D-00AA006002F3}" r:id="rId1"/>
</file>

<file path=xl/activeX/activeX190.xml><?xml version="1.0" encoding="utf-8"?>
<ax:ocx xmlns:ax="http://schemas.microsoft.com/office/2006/activeX" xmlns:r="http://schemas.openxmlformats.org/officeDocument/2006/relationships" ax:classid="{8BD21D40-EC42-11CE-9E0D-00AA006002F3}" r:id="rId1"/>
</file>

<file path=xl/activeX/activeX191.xml><?xml version="1.0" encoding="utf-8"?>
<ax:ocx xmlns:ax="http://schemas.microsoft.com/office/2006/activeX" xmlns:r="http://schemas.openxmlformats.org/officeDocument/2006/relationships" ax:classid="{8BD21D40-EC42-11CE-9E0D-00AA006002F3}" r:id="rId1"/>
</file>

<file path=xl/activeX/activeX192.xml><?xml version="1.0" encoding="utf-8"?>
<ax:ocx xmlns:ax="http://schemas.microsoft.com/office/2006/activeX" xmlns:r="http://schemas.openxmlformats.org/officeDocument/2006/relationships" ax:classid="{8BD21D40-EC42-11CE-9E0D-00AA006002F3}" r:id="rId1"/>
</file>

<file path=xl/activeX/activeX193.xml><?xml version="1.0" encoding="utf-8"?>
<ax:ocx xmlns:ax="http://schemas.microsoft.com/office/2006/activeX" xmlns:r="http://schemas.openxmlformats.org/officeDocument/2006/relationships" ax:classid="{8BD21D40-EC42-11CE-9E0D-00AA006002F3}" r:id="rId1"/>
</file>

<file path=xl/activeX/activeX194.xml><?xml version="1.0" encoding="utf-8"?>
<ax:ocx xmlns:ax="http://schemas.microsoft.com/office/2006/activeX" xmlns:r="http://schemas.openxmlformats.org/officeDocument/2006/relationships" ax:classid="{8BD21D40-EC42-11CE-9E0D-00AA006002F3}" r:id="rId1"/>
</file>

<file path=xl/activeX/activeX195.xml><?xml version="1.0" encoding="utf-8"?>
<ax:ocx xmlns:ax="http://schemas.microsoft.com/office/2006/activeX" xmlns:r="http://schemas.openxmlformats.org/officeDocument/2006/relationships" ax:classid="{8BD21D40-EC42-11CE-9E0D-00AA006002F3}" r:id="rId1"/>
</file>

<file path=xl/activeX/activeX196.xml><?xml version="1.0" encoding="utf-8"?>
<ax:ocx xmlns:ax="http://schemas.microsoft.com/office/2006/activeX" xmlns:r="http://schemas.openxmlformats.org/officeDocument/2006/relationships" ax:classid="{8BD21D40-EC42-11CE-9E0D-00AA006002F3}" r:id="rId1"/>
</file>

<file path=xl/activeX/activeX197.xml><?xml version="1.0" encoding="utf-8"?>
<ax:ocx xmlns:ax="http://schemas.microsoft.com/office/2006/activeX" xmlns:r="http://schemas.openxmlformats.org/officeDocument/2006/relationships" ax:classid="{8BD21D40-EC42-11CE-9E0D-00AA006002F3}" r:id="rId1"/>
</file>

<file path=xl/activeX/activeX198.xml><?xml version="1.0" encoding="utf-8"?>
<ax:ocx xmlns:ax="http://schemas.microsoft.com/office/2006/activeX" xmlns:r="http://schemas.openxmlformats.org/officeDocument/2006/relationships" ax:classid="{8BD21D40-EC42-11CE-9E0D-00AA006002F3}" r:id="rId1"/>
</file>

<file path=xl/activeX/activeX199.xml><?xml version="1.0" encoding="utf-8"?>
<ax:ocx xmlns:ax="http://schemas.microsoft.com/office/2006/activeX" xmlns:r="http://schemas.openxmlformats.org/officeDocument/2006/relationships" ax:classid="{8BD21D40-EC42-11CE-9E0D-00AA006002F3}" r:id="rId1"/>
</file>

<file path=xl/activeX/activeX200.xml><?xml version="1.0" encoding="utf-8"?>
<ax:ocx xmlns:ax="http://schemas.microsoft.com/office/2006/activeX" xmlns:r="http://schemas.openxmlformats.org/officeDocument/2006/relationships" ax:classid="{8BD21D40-EC42-11CE-9E0D-00AA006002F3}" r:id="rId1"/>
</file>

<file path=xl/activeX/activeX201.xml><?xml version="1.0" encoding="utf-8"?>
<ax:ocx xmlns:ax="http://schemas.microsoft.com/office/2006/activeX" xmlns:r="http://schemas.openxmlformats.org/officeDocument/2006/relationships" ax:classid="{8BD21D40-EC42-11CE-9E0D-00AA006002F3}" r:id="rId1"/>
</file>

<file path=xl/activeX/activeX202.xml><?xml version="1.0" encoding="utf-8"?>
<ax:ocx xmlns:ax="http://schemas.microsoft.com/office/2006/activeX" xmlns:r="http://schemas.openxmlformats.org/officeDocument/2006/relationships" ax:classid="{8BD21D40-EC42-11CE-9E0D-00AA006002F3}" r:id="rId1"/>
</file>

<file path=xl/activeX/activeX203.xml><?xml version="1.0" encoding="utf-8"?>
<ax:ocx xmlns:ax="http://schemas.microsoft.com/office/2006/activeX" xmlns:r="http://schemas.openxmlformats.org/officeDocument/2006/relationships" ax:classid="{8BD21D40-EC42-11CE-9E0D-00AA006002F3}" r:id="rId1"/>
</file>

<file path=xl/activeX/activeX204.xml><?xml version="1.0" encoding="utf-8"?>
<ax:ocx xmlns:ax="http://schemas.microsoft.com/office/2006/activeX" xmlns:r="http://schemas.openxmlformats.org/officeDocument/2006/relationships" ax:classid="{8BD21D40-EC42-11CE-9E0D-00AA006002F3}" r:id="rId1"/>
</file>

<file path=xl/activeX/activeX205.xml><?xml version="1.0" encoding="utf-8"?>
<ax:ocx xmlns:ax="http://schemas.microsoft.com/office/2006/activeX" xmlns:r="http://schemas.openxmlformats.org/officeDocument/2006/relationships" ax:classid="{8BD21D40-EC42-11CE-9E0D-00AA006002F3}" r:id="rId1"/>
</file>

<file path=xl/activeX/activeX206.xml><?xml version="1.0" encoding="utf-8"?>
<ax:ocx xmlns:ax="http://schemas.microsoft.com/office/2006/activeX" xmlns:r="http://schemas.openxmlformats.org/officeDocument/2006/relationships" ax:classid="{8BD21D40-EC42-11CE-9E0D-00AA006002F3}" r:id="rId1"/>
</file>

<file path=xl/activeX/activeX207.xml><?xml version="1.0" encoding="utf-8"?>
<ax:ocx xmlns:ax="http://schemas.microsoft.com/office/2006/activeX" xmlns:r="http://schemas.openxmlformats.org/officeDocument/2006/relationships" ax:classid="{8BD21D40-EC42-11CE-9E0D-00AA006002F3}" r:id="rId1"/>
</file>

<file path=xl/activeX/activeX208.xml><?xml version="1.0" encoding="utf-8"?>
<ax:ocx xmlns:ax="http://schemas.microsoft.com/office/2006/activeX" xmlns:r="http://schemas.openxmlformats.org/officeDocument/2006/relationships" ax:classid="{8BD21D40-EC42-11CE-9E0D-00AA006002F3}" r:id="rId1"/>
</file>

<file path=xl/activeX/activeX209.xml><?xml version="1.0" encoding="utf-8"?>
<ax:ocx xmlns:ax="http://schemas.microsoft.com/office/2006/activeX" xmlns:r="http://schemas.openxmlformats.org/officeDocument/2006/relationships" ax:classid="{8BD21D40-EC42-11CE-9E0D-00AA006002F3}" r:id="rId1"/>
</file>

<file path=xl/activeX/activeX210.xml><?xml version="1.0" encoding="utf-8"?>
<ax:ocx xmlns:ax="http://schemas.microsoft.com/office/2006/activeX" xmlns:r="http://schemas.openxmlformats.org/officeDocument/2006/relationships" ax:classid="{8BD21D40-EC42-11CE-9E0D-00AA006002F3}" r:id="rId1"/>
</file>

<file path=xl/activeX/activeX211.xml><?xml version="1.0" encoding="utf-8"?>
<ax:ocx xmlns:ax="http://schemas.microsoft.com/office/2006/activeX" xmlns:r="http://schemas.openxmlformats.org/officeDocument/2006/relationships" ax:classid="{8BD21D40-EC42-11CE-9E0D-00AA006002F3}" r:id="rId1"/>
</file>

<file path=xl/activeX/activeX212.xml><?xml version="1.0" encoding="utf-8"?>
<ax:ocx xmlns:ax="http://schemas.microsoft.com/office/2006/activeX" xmlns:r="http://schemas.openxmlformats.org/officeDocument/2006/relationships" ax:classid="{8BD21D40-EC42-11CE-9E0D-00AA006002F3}" r:id="rId1"/>
</file>

<file path=xl/activeX/activeX213.xml><?xml version="1.0" encoding="utf-8"?>
<ax:ocx xmlns:ax="http://schemas.microsoft.com/office/2006/activeX" xmlns:r="http://schemas.openxmlformats.org/officeDocument/2006/relationships" ax:classid="{8BD21D40-EC42-11CE-9E0D-00AA006002F3}" r:id="rId1"/>
</file>

<file path=xl/activeX/activeX214.xml><?xml version="1.0" encoding="utf-8"?>
<ax:ocx xmlns:ax="http://schemas.microsoft.com/office/2006/activeX" xmlns:r="http://schemas.openxmlformats.org/officeDocument/2006/relationships" ax:classid="{8BD21D40-EC42-11CE-9E0D-00AA006002F3}" r:id="rId1"/>
</file>

<file path=xl/activeX/activeX215.xml><?xml version="1.0" encoding="utf-8"?>
<ax:ocx xmlns:ax="http://schemas.microsoft.com/office/2006/activeX" xmlns:r="http://schemas.openxmlformats.org/officeDocument/2006/relationships" ax:classid="{8BD21D40-EC42-11CE-9E0D-00AA006002F3}" r:id="rId1"/>
</file>

<file path=xl/activeX/activeX216.xml><?xml version="1.0" encoding="utf-8"?>
<ax:ocx xmlns:ax="http://schemas.microsoft.com/office/2006/activeX" xmlns:r="http://schemas.openxmlformats.org/officeDocument/2006/relationships" ax:classid="{8BD21D40-EC42-11CE-9E0D-00AA006002F3}" r:id="rId1"/>
</file>

<file path=xl/activeX/activeX217.xml><?xml version="1.0" encoding="utf-8"?>
<ax:ocx xmlns:ax="http://schemas.microsoft.com/office/2006/activeX" xmlns:r="http://schemas.openxmlformats.org/officeDocument/2006/relationships" ax:classid="{8BD21D40-EC42-11CE-9E0D-00AA006002F3}" r:id="rId1"/>
</file>

<file path=xl/activeX/activeX218.xml><?xml version="1.0" encoding="utf-8"?>
<ax:ocx xmlns:ax="http://schemas.microsoft.com/office/2006/activeX" xmlns:r="http://schemas.openxmlformats.org/officeDocument/2006/relationships" ax:classid="{8BD21D40-EC42-11CE-9E0D-00AA006002F3}" r:id="rId1"/>
</file>

<file path=xl/activeX/activeX219.xml><?xml version="1.0" encoding="utf-8"?>
<ax:ocx xmlns:ax="http://schemas.microsoft.com/office/2006/activeX" xmlns:r="http://schemas.openxmlformats.org/officeDocument/2006/relationships" ax:classid="{8BD21D40-EC42-11CE-9E0D-00AA006002F3}" r:id="rId1"/>
</file>

<file path=xl/activeX/activeX220.xml><?xml version="1.0" encoding="utf-8"?>
<ax:ocx xmlns:ax="http://schemas.microsoft.com/office/2006/activeX" xmlns:r="http://schemas.openxmlformats.org/officeDocument/2006/relationships" ax:classid="{8BD21D40-EC42-11CE-9E0D-00AA006002F3}" r:id="rId1"/>
</file>

<file path=xl/activeX/activeX221.xml><?xml version="1.0" encoding="utf-8"?>
<ax:ocx xmlns:ax="http://schemas.microsoft.com/office/2006/activeX" xmlns:r="http://schemas.openxmlformats.org/officeDocument/2006/relationships" ax:classid="{8BD21D40-EC42-11CE-9E0D-00AA006002F3}" r:id="rId1"/>
</file>

<file path=xl/activeX/activeX222.xml><?xml version="1.0" encoding="utf-8"?>
<ax:ocx xmlns:ax="http://schemas.microsoft.com/office/2006/activeX" xmlns:r="http://schemas.openxmlformats.org/officeDocument/2006/relationships" ax:classid="{8BD21D40-EC42-11CE-9E0D-00AA006002F3}" r:id="rId1"/>
</file>

<file path=xl/activeX/activeX223.xml><?xml version="1.0" encoding="utf-8"?>
<ax:ocx xmlns:ax="http://schemas.microsoft.com/office/2006/activeX" xmlns:r="http://schemas.openxmlformats.org/officeDocument/2006/relationships" ax:classid="{8BD21D40-EC42-11CE-9E0D-00AA006002F3}" r:id="rId1"/>
</file>

<file path=xl/activeX/activeX224.xml><?xml version="1.0" encoding="utf-8"?>
<ax:ocx xmlns:ax="http://schemas.microsoft.com/office/2006/activeX" xmlns:r="http://schemas.openxmlformats.org/officeDocument/2006/relationships" ax:classid="{8BD21D40-EC42-11CE-9E0D-00AA006002F3}" r:id="rId1"/>
</file>

<file path=xl/activeX/activeX225.xml><?xml version="1.0" encoding="utf-8"?>
<ax:ocx xmlns:ax="http://schemas.microsoft.com/office/2006/activeX" xmlns:r="http://schemas.openxmlformats.org/officeDocument/2006/relationships" ax:classid="{8BD21D40-EC42-11CE-9E0D-00AA006002F3}" r:id="rId1"/>
</file>

<file path=xl/activeX/activeX226.xml><?xml version="1.0" encoding="utf-8"?>
<ax:ocx xmlns:ax="http://schemas.microsoft.com/office/2006/activeX" xmlns:r="http://schemas.openxmlformats.org/officeDocument/2006/relationships" ax:classid="{8BD21D40-EC42-11CE-9E0D-00AA006002F3}" r:id="rId1"/>
</file>

<file path=xl/activeX/activeX227.xml><?xml version="1.0" encoding="utf-8"?>
<ax:ocx xmlns:ax="http://schemas.microsoft.com/office/2006/activeX" xmlns:r="http://schemas.openxmlformats.org/officeDocument/2006/relationships" ax:classid="{8BD21D40-EC42-11CE-9E0D-00AA006002F3}" r:id="rId1"/>
</file>

<file path=xl/activeX/activeX228.xml><?xml version="1.0" encoding="utf-8"?>
<ax:ocx xmlns:ax="http://schemas.microsoft.com/office/2006/activeX" xmlns:r="http://schemas.openxmlformats.org/officeDocument/2006/relationships" ax:classid="{8BD21D40-EC42-11CE-9E0D-00AA006002F3}" r:id="rId1"/>
</file>

<file path=xl/activeX/activeX229.xml><?xml version="1.0" encoding="utf-8"?>
<ax:ocx xmlns:ax="http://schemas.microsoft.com/office/2006/activeX" xmlns:r="http://schemas.openxmlformats.org/officeDocument/2006/relationships" ax:classid="{8BD21D40-EC42-11CE-9E0D-00AA006002F3}" r:id="rId1"/>
</file>

<file path=xl/activeX/activeX230.xml><?xml version="1.0" encoding="utf-8"?>
<ax:ocx xmlns:ax="http://schemas.microsoft.com/office/2006/activeX" xmlns:r="http://schemas.openxmlformats.org/officeDocument/2006/relationships" ax:classid="{8BD21D40-EC42-11CE-9E0D-00AA006002F3}" r:id="rId1"/>
</file>

<file path=xl/activeX/activeX231.xml><?xml version="1.0" encoding="utf-8"?>
<ax:ocx xmlns:ax="http://schemas.microsoft.com/office/2006/activeX" xmlns:r="http://schemas.openxmlformats.org/officeDocument/2006/relationships" ax:classid="{8BD21D40-EC42-11CE-9E0D-00AA006002F3}" r:id="rId1"/>
</file>

<file path=xl/activeX/activeX232.xml><?xml version="1.0" encoding="utf-8"?>
<ax:ocx xmlns:ax="http://schemas.microsoft.com/office/2006/activeX" xmlns:r="http://schemas.openxmlformats.org/officeDocument/2006/relationships" ax:classid="{8BD21D40-EC42-11CE-9E0D-00AA006002F3}" r:id="rId1"/>
</file>

<file path=xl/activeX/activeX233.xml><?xml version="1.0" encoding="utf-8"?>
<ax:ocx xmlns:ax="http://schemas.microsoft.com/office/2006/activeX" xmlns:r="http://schemas.openxmlformats.org/officeDocument/2006/relationships" ax:classid="{8BD21D40-EC42-11CE-9E0D-00AA006002F3}" r:id="rId1"/>
</file>

<file path=xl/activeX/activeX234.xml><?xml version="1.0" encoding="utf-8"?>
<ax:ocx xmlns:ax="http://schemas.microsoft.com/office/2006/activeX" xmlns:r="http://schemas.openxmlformats.org/officeDocument/2006/relationships" ax:classid="{8BD21D40-EC42-11CE-9E0D-00AA006002F3}" r:id="rId1"/>
</file>

<file path=xl/activeX/activeX235.xml><?xml version="1.0" encoding="utf-8"?>
<ax:ocx xmlns:ax="http://schemas.microsoft.com/office/2006/activeX" xmlns:r="http://schemas.openxmlformats.org/officeDocument/2006/relationships" ax:classid="{8BD21D40-EC42-11CE-9E0D-00AA006002F3}" r:id="rId1"/>
</file>

<file path=xl/activeX/activeX236.xml><?xml version="1.0" encoding="utf-8"?>
<ax:ocx xmlns:ax="http://schemas.microsoft.com/office/2006/activeX" xmlns:r="http://schemas.openxmlformats.org/officeDocument/2006/relationships" ax:classid="{8BD21D40-EC42-11CE-9E0D-00AA006002F3}" r:id="rId1"/>
</file>

<file path=xl/activeX/activeX237.xml><?xml version="1.0" encoding="utf-8"?>
<ax:ocx xmlns:ax="http://schemas.microsoft.com/office/2006/activeX" xmlns:r="http://schemas.openxmlformats.org/officeDocument/2006/relationships" ax:classid="{8BD21D40-EC42-11CE-9E0D-00AA006002F3}" r:id="rId1"/>
</file>

<file path=xl/activeX/activeX238.xml><?xml version="1.0" encoding="utf-8"?>
<ax:ocx xmlns:ax="http://schemas.microsoft.com/office/2006/activeX" xmlns:r="http://schemas.openxmlformats.org/officeDocument/2006/relationships" ax:classid="{8BD21D40-EC42-11CE-9E0D-00AA006002F3}" r:id="rId1"/>
</file>

<file path=xl/activeX/activeX239.xml><?xml version="1.0" encoding="utf-8"?>
<ax:ocx xmlns:ax="http://schemas.microsoft.com/office/2006/activeX" xmlns:r="http://schemas.openxmlformats.org/officeDocument/2006/relationships" ax:classid="{8BD21D40-EC42-11CE-9E0D-00AA006002F3}" r:id="rId1"/>
</file>

<file path=xl/activeX/activeX240.xml><?xml version="1.0" encoding="utf-8"?>
<ax:ocx xmlns:ax="http://schemas.microsoft.com/office/2006/activeX" xmlns:r="http://schemas.openxmlformats.org/officeDocument/2006/relationships" ax:classid="{8BD21D40-EC42-11CE-9E0D-00AA006002F3}" r:id="rId1"/>
</file>

<file path=xl/activeX/activeX241.xml><?xml version="1.0" encoding="utf-8"?>
<ax:ocx xmlns:ax="http://schemas.microsoft.com/office/2006/activeX" xmlns:r="http://schemas.openxmlformats.org/officeDocument/2006/relationships" ax:classid="{8BD21D40-EC42-11CE-9E0D-00AA006002F3}" r:id="rId1"/>
</file>

<file path=xl/activeX/activeX242.xml><?xml version="1.0" encoding="utf-8"?>
<ax:ocx xmlns:ax="http://schemas.microsoft.com/office/2006/activeX" xmlns:r="http://schemas.openxmlformats.org/officeDocument/2006/relationships" ax:classid="{8BD21D40-EC42-11CE-9E0D-00AA006002F3}" r:id="rId1"/>
</file>

<file path=xl/activeX/activeX243.xml><?xml version="1.0" encoding="utf-8"?>
<ax:ocx xmlns:ax="http://schemas.microsoft.com/office/2006/activeX" xmlns:r="http://schemas.openxmlformats.org/officeDocument/2006/relationships" ax:classid="{8BD21D40-EC42-11CE-9E0D-00AA006002F3}" r:id="rId1"/>
</file>

<file path=xl/activeX/activeX244.xml><?xml version="1.0" encoding="utf-8"?>
<ax:ocx xmlns:ax="http://schemas.microsoft.com/office/2006/activeX" xmlns:r="http://schemas.openxmlformats.org/officeDocument/2006/relationships" ax:classid="{8BD21D40-EC42-11CE-9E0D-00AA006002F3}" r:id="rId1"/>
</file>

<file path=xl/activeX/activeX245.xml><?xml version="1.0" encoding="utf-8"?>
<ax:ocx xmlns:ax="http://schemas.microsoft.com/office/2006/activeX" xmlns:r="http://schemas.openxmlformats.org/officeDocument/2006/relationships" ax:classid="{8BD21D40-EC42-11CE-9E0D-00AA006002F3}" r:id="rId1"/>
</file>

<file path=xl/activeX/activeX246.xml><?xml version="1.0" encoding="utf-8"?>
<ax:ocx xmlns:ax="http://schemas.microsoft.com/office/2006/activeX" xmlns:r="http://schemas.openxmlformats.org/officeDocument/2006/relationships" ax:classid="{8BD21D40-EC42-11CE-9E0D-00AA006002F3}" r:id="rId1"/>
</file>

<file path=xl/activeX/activeX247.xml><?xml version="1.0" encoding="utf-8"?>
<ax:ocx xmlns:ax="http://schemas.microsoft.com/office/2006/activeX" xmlns:r="http://schemas.openxmlformats.org/officeDocument/2006/relationships" ax:classid="{8BD21D40-EC42-11CE-9E0D-00AA006002F3}" r:id="rId1"/>
</file>

<file path=xl/activeX/activeX248.xml><?xml version="1.0" encoding="utf-8"?>
<ax:ocx xmlns:ax="http://schemas.microsoft.com/office/2006/activeX" xmlns:r="http://schemas.openxmlformats.org/officeDocument/2006/relationships" ax:classid="{8BD21D40-EC42-11CE-9E0D-00AA006002F3}" r:id="rId1"/>
</file>

<file path=xl/activeX/activeX249.xml><?xml version="1.0" encoding="utf-8"?>
<ax:ocx xmlns:ax="http://schemas.microsoft.com/office/2006/activeX" xmlns:r="http://schemas.openxmlformats.org/officeDocument/2006/relationships" ax:classid="{8BD21D40-EC42-11CE-9E0D-00AA006002F3}" r:id="rId1"/>
</file>

<file path=xl/activeX/activeX250.xml><?xml version="1.0" encoding="utf-8"?>
<ax:ocx xmlns:ax="http://schemas.microsoft.com/office/2006/activeX" xmlns:r="http://schemas.openxmlformats.org/officeDocument/2006/relationships" ax:classid="{8BD21D40-EC42-11CE-9E0D-00AA006002F3}" r:id="rId1"/>
</file>

<file path=xl/activeX/activeX251.xml><?xml version="1.0" encoding="utf-8"?>
<ax:ocx xmlns:ax="http://schemas.microsoft.com/office/2006/activeX" xmlns:r="http://schemas.openxmlformats.org/officeDocument/2006/relationships" ax:classid="{8BD21D40-EC42-11CE-9E0D-00AA006002F3}" r:id="rId1"/>
</file>

<file path=xl/activeX/activeX252.xml><?xml version="1.0" encoding="utf-8"?>
<ax:ocx xmlns:ax="http://schemas.microsoft.com/office/2006/activeX" xmlns:r="http://schemas.openxmlformats.org/officeDocument/2006/relationships" ax:classid="{8BD21D40-EC42-11CE-9E0D-00AA006002F3}" r:id="rId1"/>
</file>

<file path=xl/activeX/activeX253.xml><?xml version="1.0" encoding="utf-8"?>
<ax:ocx xmlns:ax="http://schemas.microsoft.com/office/2006/activeX" xmlns:r="http://schemas.openxmlformats.org/officeDocument/2006/relationships" ax:classid="{8BD21D40-EC42-11CE-9E0D-00AA006002F3}" r:id="rId1"/>
</file>

<file path=xl/activeX/activeX254.xml><?xml version="1.0" encoding="utf-8"?>
<ax:ocx xmlns:ax="http://schemas.microsoft.com/office/2006/activeX" xmlns:r="http://schemas.openxmlformats.org/officeDocument/2006/relationships" ax:classid="{8BD21D40-EC42-11CE-9E0D-00AA006002F3}" r:id="rId1"/>
</file>

<file path=xl/activeX/activeX255.xml><?xml version="1.0" encoding="utf-8"?>
<ax:ocx xmlns:ax="http://schemas.microsoft.com/office/2006/activeX" xmlns:r="http://schemas.openxmlformats.org/officeDocument/2006/relationships" ax:classid="{8BD21D40-EC42-11CE-9E0D-00AA006002F3}" r:id="rId1"/>
</file>

<file path=xl/activeX/activeX256.xml><?xml version="1.0" encoding="utf-8"?>
<ax:ocx xmlns:ax="http://schemas.microsoft.com/office/2006/activeX" xmlns:r="http://schemas.openxmlformats.org/officeDocument/2006/relationships" ax:classid="{8BD21D40-EC42-11CE-9E0D-00AA006002F3}" r:id="rId1"/>
</file>

<file path=xl/activeX/activeX257.xml><?xml version="1.0" encoding="utf-8"?>
<ax:ocx xmlns:ax="http://schemas.microsoft.com/office/2006/activeX" xmlns:r="http://schemas.openxmlformats.org/officeDocument/2006/relationships" ax:classid="{8BD21D40-EC42-11CE-9E0D-00AA006002F3}" r:id="rId1"/>
</file>

<file path=xl/activeX/activeX258.xml><?xml version="1.0" encoding="utf-8"?>
<ax:ocx xmlns:ax="http://schemas.microsoft.com/office/2006/activeX" xmlns:r="http://schemas.openxmlformats.org/officeDocument/2006/relationships" ax:classid="{8BD21D40-EC42-11CE-9E0D-00AA006002F3}" r:id="rId1"/>
</file>

<file path=xl/activeX/activeX259.xml><?xml version="1.0" encoding="utf-8"?>
<ax:ocx xmlns:ax="http://schemas.microsoft.com/office/2006/activeX" xmlns:r="http://schemas.openxmlformats.org/officeDocument/2006/relationships" ax:classid="{8BD21D40-EC42-11CE-9E0D-00AA006002F3}" r:id="rId1"/>
</file>

<file path=xl/activeX/activeX260.xml><?xml version="1.0" encoding="utf-8"?>
<ax:ocx xmlns:ax="http://schemas.microsoft.com/office/2006/activeX" xmlns:r="http://schemas.openxmlformats.org/officeDocument/2006/relationships" ax:classid="{8BD21D40-EC42-11CE-9E0D-00AA006002F3}" r:id="rId1"/>
</file>

<file path=xl/activeX/activeX261.xml><?xml version="1.0" encoding="utf-8"?>
<ax:ocx xmlns:ax="http://schemas.microsoft.com/office/2006/activeX" xmlns:r="http://schemas.openxmlformats.org/officeDocument/2006/relationships" ax:classid="{8BD21D40-EC42-11CE-9E0D-00AA006002F3}" r:id="rId1"/>
</file>

<file path=xl/activeX/activeX262.xml><?xml version="1.0" encoding="utf-8"?>
<ax:ocx xmlns:ax="http://schemas.microsoft.com/office/2006/activeX" xmlns:r="http://schemas.openxmlformats.org/officeDocument/2006/relationships" ax:classid="{8BD21D40-EC42-11CE-9E0D-00AA006002F3}" r:id="rId1"/>
</file>

<file path=xl/activeX/activeX263.xml><?xml version="1.0" encoding="utf-8"?>
<ax:ocx xmlns:ax="http://schemas.microsoft.com/office/2006/activeX" xmlns:r="http://schemas.openxmlformats.org/officeDocument/2006/relationships" ax:classid="{8BD21D40-EC42-11CE-9E0D-00AA006002F3}" r:id="rId1"/>
</file>

<file path=xl/activeX/activeX264.xml><?xml version="1.0" encoding="utf-8"?>
<ax:ocx xmlns:ax="http://schemas.microsoft.com/office/2006/activeX" xmlns:r="http://schemas.openxmlformats.org/officeDocument/2006/relationships" ax:classid="{8BD21D40-EC42-11CE-9E0D-00AA006002F3}" r:id="rId1"/>
</file>

<file path=xl/activeX/activeX265.xml><?xml version="1.0" encoding="utf-8"?>
<ax:ocx xmlns:ax="http://schemas.microsoft.com/office/2006/activeX" xmlns:r="http://schemas.openxmlformats.org/officeDocument/2006/relationships" ax:classid="{8BD21D40-EC42-11CE-9E0D-00AA006002F3}" r:id="rId1"/>
</file>

<file path=xl/activeX/activeX266.xml><?xml version="1.0" encoding="utf-8"?>
<ax:ocx xmlns:ax="http://schemas.microsoft.com/office/2006/activeX" xmlns:r="http://schemas.openxmlformats.org/officeDocument/2006/relationships" ax:classid="{8BD21D40-EC42-11CE-9E0D-00AA006002F3}" r:id="rId1"/>
</file>

<file path=xl/activeX/activeX267.xml><?xml version="1.0" encoding="utf-8"?>
<ax:ocx xmlns:ax="http://schemas.microsoft.com/office/2006/activeX" xmlns:r="http://schemas.openxmlformats.org/officeDocument/2006/relationships" ax:classid="{8BD21D40-EC42-11CE-9E0D-00AA006002F3}" r:id="rId1"/>
</file>

<file path=xl/activeX/activeX268.xml><?xml version="1.0" encoding="utf-8"?>
<ax:ocx xmlns:ax="http://schemas.microsoft.com/office/2006/activeX" xmlns:r="http://schemas.openxmlformats.org/officeDocument/2006/relationships" ax:classid="{8BD21D40-EC42-11CE-9E0D-00AA006002F3}" r:id="rId1"/>
</file>

<file path=xl/activeX/activeX269.xml><?xml version="1.0" encoding="utf-8"?>
<ax:ocx xmlns:ax="http://schemas.microsoft.com/office/2006/activeX" xmlns:r="http://schemas.openxmlformats.org/officeDocument/2006/relationships" ax:classid="{8BD21D40-EC42-11CE-9E0D-00AA006002F3}" r:id="rId1"/>
</file>

<file path=xl/activeX/activeX270.xml><?xml version="1.0" encoding="utf-8"?>
<ax:ocx xmlns:ax="http://schemas.microsoft.com/office/2006/activeX" xmlns:r="http://schemas.openxmlformats.org/officeDocument/2006/relationships" ax:classid="{8BD21D40-EC42-11CE-9E0D-00AA006002F3}" r:id="rId1"/>
</file>

<file path=xl/activeX/activeX271.xml><?xml version="1.0" encoding="utf-8"?>
<ax:ocx xmlns:ax="http://schemas.microsoft.com/office/2006/activeX" xmlns:r="http://schemas.openxmlformats.org/officeDocument/2006/relationships" ax:classid="{8BD21D40-EC42-11CE-9E0D-00AA006002F3}" r:id="rId1"/>
</file>

<file path=xl/activeX/activeX272.xml><?xml version="1.0" encoding="utf-8"?>
<ax:ocx xmlns:ax="http://schemas.microsoft.com/office/2006/activeX" xmlns:r="http://schemas.openxmlformats.org/officeDocument/2006/relationships" ax:classid="{8BD21D40-EC42-11CE-9E0D-00AA006002F3}" r:id="rId1"/>
</file>

<file path=xl/activeX/activeX273.xml><?xml version="1.0" encoding="utf-8"?>
<ax:ocx xmlns:ax="http://schemas.microsoft.com/office/2006/activeX" xmlns:r="http://schemas.openxmlformats.org/officeDocument/2006/relationships" ax:classid="{8BD21D40-EC42-11CE-9E0D-00AA006002F3}" r:id="rId1"/>
</file>

<file path=xl/activeX/activeX274.xml><?xml version="1.0" encoding="utf-8"?>
<ax:ocx xmlns:ax="http://schemas.microsoft.com/office/2006/activeX" xmlns:r="http://schemas.openxmlformats.org/officeDocument/2006/relationships" ax:classid="{8BD21D40-EC42-11CE-9E0D-00AA006002F3}" r:id="rId1"/>
</file>

<file path=xl/activeX/activeX275.xml><?xml version="1.0" encoding="utf-8"?>
<ax:ocx xmlns:ax="http://schemas.microsoft.com/office/2006/activeX" xmlns:r="http://schemas.openxmlformats.org/officeDocument/2006/relationships" ax:classid="{8BD21D40-EC42-11CE-9E0D-00AA006002F3}" r:id="rId1"/>
</file>

<file path=xl/activeX/activeX276.xml><?xml version="1.0" encoding="utf-8"?>
<ax:ocx xmlns:ax="http://schemas.microsoft.com/office/2006/activeX" xmlns:r="http://schemas.openxmlformats.org/officeDocument/2006/relationships" ax:classid="{8BD21D40-EC42-11CE-9E0D-00AA006002F3}" r:id="rId1"/>
</file>

<file path=xl/activeX/activeX277.xml><?xml version="1.0" encoding="utf-8"?>
<ax:ocx xmlns:ax="http://schemas.microsoft.com/office/2006/activeX" xmlns:r="http://schemas.openxmlformats.org/officeDocument/2006/relationships" ax:classid="{8BD21D40-EC42-11CE-9E0D-00AA006002F3}" r:id="rId1"/>
</file>

<file path=xl/activeX/activeX278.xml><?xml version="1.0" encoding="utf-8"?>
<ax:ocx xmlns:ax="http://schemas.microsoft.com/office/2006/activeX" xmlns:r="http://schemas.openxmlformats.org/officeDocument/2006/relationships" ax:classid="{8BD21D40-EC42-11CE-9E0D-00AA006002F3}" r:id="rId1"/>
</file>

<file path=xl/activeX/activeX279.xml><?xml version="1.0" encoding="utf-8"?>
<ax:ocx xmlns:ax="http://schemas.microsoft.com/office/2006/activeX" xmlns:r="http://schemas.openxmlformats.org/officeDocument/2006/relationships" ax:classid="{8BD21D40-EC42-11CE-9E0D-00AA006002F3}" r:id="rId1"/>
</file>

<file path=xl/activeX/activeX280.xml><?xml version="1.0" encoding="utf-8"?>
<ax:ocx xmlns:ax="http://schemas.microsoft.com/office/2006/activeX" xmlns:r="http://schemas.openxmlformats.org/officeDocument/2006/relationships" ax:classid="{8BD21D40-EC42-11CE-9E0D-00AA006002F3}" r:id="rId1"/>
</file>

<file path=xl/activeX/activeX281.xml><?xml version="1.0" encoding="utf-8"?>
<ax:ocx xmlns:ax="http://schemas.microsoft.com/office/2006/activeX" xmlns:r="http://schemas.openxmlformats.org/officeDocument/2006/relationships" ax:classid="{8BD21D40-EC42-11CE-9E0D-00AA006002F3}" r:id="rId1"/>
</file>

<file path=xl/activeX/activeX282.xml><?xml version="1.0" encoding="utf-8"?>
<ax:ocx xmlns:ax="http://schemas.microsoft.com/office/2006/activeX" xmlns:r="http://schemas.openxmlformats.org/officeDocument/2006/relationships" ax:classid="{8BD21D40-EC42-11CE-9E0D-00AA006002F3}" r:id="rId1"/>
</file>

<file path=xl/activeX/activeX283.xml><?xml version="1.0" encoding="utf-8"?>
<ax:ocx xmlns:ax="http://schemas.microsoft.com/office/2006/activeX" xmlns:r="http://schemas.openxmlformats.org/officeDocument/2006/relationships" ax:classid="{8BD21D40-EC42-11CE-9E0D-00AA006002F3}" r:id="rId1"/>
</file>

<file path=xl/activeX/activeX284.xml><?xml version="1.0" encoding="utf-8"?>
<ax:ocx xmlns:ax="http://schemas.microsoft.com/office/2006/activeX" xmlns:r="http://schemas.openxmlformats.org/officeDocument/2006/relationships" ax:classid="{8BD21D40-EC42-11CE-9E0D-00AA006002F3}" r:id="rId1"/>
</file>

<file path=xl/activeX/activeX285.xml><?xml version="1.0" encoding="utf-8"?>
<ax:ocx xmlns:ax="http://schemas.microsoft.com/office/2006/activeX" xmlns:r="http://schemas.openxmlformats.org/officeDocument/2006/relationships" ax:classid="{8BD21D40-EC42-11CE-9E0D-00AA006002F3}" r:id="rId1"/>
</file>

<file path=xl/activeX/activeX286.xml><?xml version="1.0" encoding="utf-8"?>
<ax:ocx xmlns:ax="http://schemas.microsoft.com/office/2006/activeX" xmlns:r="http://schemas.openxmlformats.org/officeDocument/2006/relationships" ax:classid="{8BD21D40-EC42-11CE-9E0D-00AA006002F3}" r:id="rId1"/>
</file>

<file path=xl/activeX/activeX287.xml><?xml version="1.0" encoding="utf-8"?>
<ax:ocx xmlns:ax="http://schemas.microsoft.com/office/2006/activeX" xmlns:r="http://schemas.openxmlformats.org/officeDocument/2006/relationships" ax:classid="{8BD21D40-EC42-11CE-9E0D-00AA006002F3}" r:id="rId1"/>
</file>

<file path=xl/activeX/activeX288.xml><?xml version="1.0" encoding="utf-8"?>
<ax:ocx xmlns:ax="http://schemas.microsoft.com/office/2006/activeX" xmlns:r="http://schemas.openxmlformats.org/officeDocument/2006/relationships" ax:classid="{8BD21D4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26" Type="http://schemas.openxmlformats.org/officeDocument/2006/relationships/image" Target="../media/image27.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5" Type="http://schemas.openxmlformats.org/officeDocument/2006/relationships/image" Target="../media/image26.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29" Type="http://schemas.openxmlformats.org/officeDocument/2006/relationships/image" Target="../media/image30.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5.emf"/><Relationship Id="rId5" Type="http://schemas.openxmlformats.org/officeDocument/2006/relationships/image" Target="../media/image6.emf"/><Relationship Id="rId15" Type="http://schemas.openxmlformats.org/officeDocument/2006/relationships/image" Target="../media/image16.emf"/><Relationship Id="rId23" Type="http://schemas.openxmlformats.org/officeDocument/2006/relationships/image" Target="../media/image24.emf"/><Relationship Id="rId28" Type="http://schemas.openxmlformats.org/officeDocument/2006/relationships/image" Target="../media/image29.emf"/><Relationship Id="rId10" Type="http://schemas.openxmlformats.org/officeDocument/2006/relationships/image" Target="../media/image11.emf"/><Relationship Id="rId19" Type="http://schemas.openxmlformats.org/officeDocument/2006/relationships/image" Target="../media/image20.emf"/><Relationship Id="rId31" Type="http://schemas.openxmlformats.org/officeDocument/2006/relationships/image" Target="../media/image32.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 Id="rId27" Type="http://schemas.openxmlformats.org/officeDocument/2006/relationships/image" Target="../media/image28.emf"/><Relationship Id="rId30" Type="http://schemas.openxmlformats.org/officeDocument/2006/relationships/image" Target="../media/image3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4.emf"/><Relationship Id="rId13" Type="http://schemas.openxmlformats.org/officeDocument/2006/relationships/image" Target="../media/image37.emf"/><Relationship Id="rId18" Type="http://schemas.openxmlformats.org/officeDocument/2006/relationships/image" Target="../media/image40.emf"/><Relationship Id="rId3" Type="http://schemas.openxmlformats.org/officeDocument/2006/relationships/image" Target="../media/image17.emf"/><Relationship Id="rId7" Type="http://schemas.openxmlformats.org/officeDocument/2006/relationships/image" Target="../media/image29.emf"/><Relationship Id="rId12" Type="http://schemas.openxmlformats.org/officeDocument/2006/relationships/image" Target="../media/image36.emf"/><Relationship Id="rId17" Type="http://schemas.openxmlformats.org/officeDocument/2006/relationships/image" Target="../media/image39.emf"/><Relationship Id="rId2" Type="http://schemas.openxmlformats.org/officeDocument/2006/relationships/image" Target="../media/image33.emf"/><Relationship Id="rId16" Type="http://schemas.openxmlformats.org/officeDocument/2006/relationships/image" Target="../media/image38.emf"/><Relationship Id="rId1" Type="http://schemas.openxmlformats.org/officeDocument/2006/relationships/image" Target="../media/image26.emf"/><Relationship Id="rId6" Type="http://schemas.openxmlformats.org/officeDocument/2006/relationships/image" Target="../media/image12.emf"/><Relationship Id="rId11" Type="http://schemas.openxmlformats.org/officeDocument/2006/relationships/image" Target="../media/image35.emf"/><Relationship Id="rId5" Type="http://schemas.openxmlformats.org/officeDocument/2006/relationships/image" Target="../media/image14.emf"/><Relationship Id="rId15" Type="http://schemas.openxmlformats.org/officeDocument/2006/relationships/image" Target="../media/image16.emf"/><Relationship Id="rId10" Type="http://schemas.openxmlformats.org/officeDocument/2006/relationships/image" Target="../media/image23.emf"/><Relationship Id="rId4" Type="http://schemas.openxmlformats.org/officeDocument/2006/relationships/image" Target="../media/image30.emf"/><Relationship Id="rId9" Type="http://schemas.openxmlformats.org/officeDocument/2006/relationships/image" Target="../media/image25.emf"/><Relationship Id="rId1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57</xdr:row>
      <xdr:rowOff>0</xdr:rowOff>
    </xdr:from>
    <xdr:to>
      <xdr:col>15</xdr:col>
      <xdr:colOff>0</xdr:colOff>
      <xdr:row>59</xdr:row>
      <xdr:rowOff>0</xdr:rowOff>
    </xdr:to>
    <xdr:pic>
      <xdr:nvPicPr>
        <xdr:cNvPr id="1604" name="図 1"/>
        <xdr:cNvPicPr>
          <a:picLocks noChangeAspect="1" noChangeArrowheads="1"/>
        </xdr:cNvPicPr>
      </xdr:nvPicPr>
      <xdr:blipFill>
        <a:blip xmlns:r="http://schemas.openxmlformats.org/officeDocument/2006/relationships" r:embed="rId1" cstate="print"/>
        <a:srcRect/>
        <a:stretch>
          <a:fillRect/>
        </a:stretch>
      </xdr:blipFill>
      <xdr:spPr bwMode="auto">
        <a:xfrm>
          <a:off x="104775" y="10029825"/>
          <a:ext cx="7210425" cy="3619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57</xdr:row>
      <xdr:rowOff>0</xdr:rowOff>
    </xdr:from>
    <xdr:to>
      <xdr:col>15</xdr:col>
      <xdr:colOff>9525</xdr:colOff>
      <xdr:row>59</xdr:row>
      <xdr:rowOff>0</xdr:rowOff>
    </xdr:to>
    <xdr:pic>
      <xdr:nvPicPr>
        <xdr:cNvPr id="9558" name="図 1"/>
        <xdr:cNvPicPr>
          <a:picLocks noChangeAspect="1" noChangeArrowheads="1"/>
        </xdr:cNvPicPr>
      </xdr:nvPicPr>
      <xdr:blipFill>
        <a:blip xmlns:r="http://schemas.openxmlformats.org/officeDocument/2006/relationships" r:embed="rId1" cstate="print"/>
        <a:srcRect/>
        <a:stretch>
          <a:fillRect/>
        </a:stretch>
      </xdr:blipFill>
      <xdr:spPr bwMode="auto">
        <a:xfrm>
          <a:off x="104775" y="10029825"/>
          <a:ext cx="7219950" cy="36195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12</xdr:row>
      <xdr:rowOff>0</xdr:rowOff>
    </xdr:from>
    <xdr:to>
      <xdr:col>1</xdr:col>
      <xdr:colOff>314325</xdr:colOff>
      <xdr:row>15</xdr:row>
      <xdr:rowOff>95250</xdr:rowOff>
    </xdr:to>
    <xdr:sp macro="" textlink="">
      <xdr:nvSpPr>
        <xdr:cNvPr id="13313" name="AutoShape 1"/>
        <xdr:cNvSpPr>
          <a:spLocks noChangeArrowheads="1"/>
        </xdr:cNvSpPr>
      </xdr:nvSpPr>
      <xdr:spPr bwMode="auto">
        <a:xfrm>
          <a:off x="85725" y="2057400"/>
          <a:ext cx="914400" cy="609600"/>
        </a:xfrm>
        <a:prstGeom prst="flowChartAlternateProcess">
          <a:avLst/>
        </a:prstGeom>
        <a:solidFill>
          <a:srgbClr val="FFFFFF"/>
        </a:solidFill>
        <a:ln w="22225">
          <a:solidFill>
            <a:srgbClr val="FF0000"/>
          </a:solidFill>
          <a:miter lim="800000"/>
          <a:headEnd/>
          <a:tailEnd/>
        </a:ln>
      </xdr:spPr>
      <xdr:txBody>
        <a:bodyPr vertOverflow="clip" wrap="square" lIns="45720" tIns="22860" rIns="45720" bIns="22860" anchor="ctr" upright="1"/>
        <a:lstStyle/>
        <a:p>
          <a:pPr algn="ctr" rtl="0">
            <a:defRPr sz="1000"/>
          </a:pPr>
          <a:r>
            <a:rPr lang="ja-JP" altLang="en-US" sz="1800" b="1" i="0" u="none" strike="noStrike" baseline="0">
              <a:solidFill>
                <a:srgbClr val="FF0000"/>
              </a:solidFill>
              <a:latin typeface="ＭＳ 明朝"/>
              <a:ea typeface="ＭＳ 明朝"/>
            </a:rPr>
            <a:t>社外秘</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38100</xdr:colOff>
      <xdr:row>39</xdr:row>
      <xdr:rowOff>161925</xdr:rowOff>
    </xdr:from>
    <xdr:to>
      <xdr:col>16</xdr:col>
      <xdr:colOff>685800</xdr:colOff>
      <xdr:row>42</xdr:row>
      <xdr:rowOff>161925</xdr:rowOff>
    </xdr:to>
    <xdr:sp macro="" textlink="">
      <xdr:nvSpPr>
        <xdr:cNvPr id="12289" name="AutoShape 1"/>
        <xdr:cNvSpPr>
          <a:spLocks noChangeArrowheads="1"/>
        </xdr:cNvSpPr>
      </xdr:nvSpPr>
      <xdr:spPr bwMode="auto">
        <a:xfrm>
          <a:off x="9515475" y="6848475"/>
          <a:ext cx="1381125" cy="514350"/>
        </a:xfrm>
        <a:prstGeom prst="wedgeRoundRectCallout">
          <a:avLst>
            <a:gd name="adj1" fmla="val 59657"/>
            <a:gd name="adj2" fmla="val -48148"/>
            <a:gd name="adj3" fmla="val 16667"/>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法定休日がとれているので休日割増とはならない</a:t>
          </a:r>
        </a:p>
      </xdr:txBody>
    </xdr:sp>
    <xdr:clientData/>
  </xdr:twoCellAnchor>
  <xdr:twoCellAnchor editAs="oneCell">
    <xdr:from>
      <xdr:col>25</xdr:col>
      <xdr:colOff>76200</xdr:colOff>
      <xdr:row>41</xdr:row>
      <xdr:rowOff>114300</xdr:rowOff>
    </xdr:from>
    <xdr:to>
      <xdr:col>27</xdr:col>
      <xdr:colOff>85725</xdr:colOff>
      <xdr:row>44</xdr:row>
      <xdr:rowOff>114300</xdr:rowOff>
    </xdr:to>
    <xdr:sp macro="" textlink="">
      <xdr:nvSpPr>
        <xdr:cNvPr id="12290" name="AutoShape 2"/>
        <xdr:cNvSpPr>
          <a:spLocks noChangeArrowheads="1"/>
        </xdr:cNvSpPr>
      </xdr:nvSpPr>
      <xdr:spPr bwMode="auto">
        <a:xfrm>
          <a:off x="15744825" y="7143750"/>
          <a:ext cx="1476375" cy="514350"/>
        </a:xfrm>
        <a:prstGeom prst="wedgeRoundRectCallout">
          <a:avLst>
            <a:gd name="adj1" fmla="val 59032"/>
            <a:gd name="adj2" fmla="val -48148"/>
            <a:gd name="adj3" fmla="val 16667"/>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勤務時間が８Ｈ以上の日でもって割増の判定を行う</a:t>
          </a:r>
        </a:p>
      </xdr:txBody>
    </xdr:sp>
    <xdr:clientData/>
  </xdr:twoCellAnchor>
  <xdr:twoCellAnchor editAs="oneCell">
    <xdr:from>
      <xdr:col>22</xdr:col>
      <xdr:colOff>152400</xdr:colOff>
      <xdr:row>26</xdr:row>
      <xdr:rowOff>57150</xdr:rowOff>
    </xdr:from>
    <xdr:to>
      <xdr:col>24</xdr:col>
      <xdr:colOff>66675</xdr:colOff>
      <xdr:row>29</xdr:row>
      <xdr:rowOff>57150</xdr:rowOff>
    </xdr:to>
    <xdr:sp macro="" textlink="">
      <xdr:nvSpPr>
        <xdr:cNvPr id="12291" name="AutoShape 3"/>
        <xdr:cNvSpPr>
          <a:spLocks noChangeArrowheads="1"/>
        </xdr:cNvSpPr>
      </xdr:nvSpPr>
      <xdr:spPr bwMode="auto">
        <a:xfrm>
          <a:off x="13620750" y="4514850"/>
          <a:ext cx="1381125" cy="514350"/>
        </a:xfrm>
        <a:prstGeom prst="wedgeRoundRectCallout">
          <a:avLst>
            <a:gd name="adj1" fmla="val 66551"/>
            <a:gd name="adj2" fmla="val -187037"/>
            <a:gd name="adj3" fmla="val 16667"/>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振休・代休の対象にならないためこの時点で清算</a:t>
          </a:r>
        </a:p>
      </xdr:txBody>
    </xdr:sp>
    <xdr:clientData/>
  </xdr:twoCellAnchor>
  <xdr:twoCellAnchor>
    <xdr:from>
      <xdr:col>2</xdr:col>
      <xdr:colOff>257175</xdr:colOff>
      <xdr:row>3</xdr:row>
      <xdr:rowOff>133350</xdr:rowOff>
    </xdr:from>
    <xdr:to>
      <xdr:col>3</xdr:col>
      <xdr:colOff>485775</xdr:colOff>
      <xdr:row>7</xdr:row>
      <xdr:rowOff>104775</xdr:rowOff>
    </xdr:to>
    <xdr:sp macro="" textlink="">
      <xdr:nvSpPr>
        <xdr:cNvPr id="12292" name="AutoShape 4"/>
        <xdr:cNvSpPr>
          <a:spLocks noChangeArrowheads="1"/>
        </xdr:cNvSpPr>
      </xdr:nvSpPr>
      <xdr:spPr bwMode="auto">
        <a:xfrm>
          <a:off x="1343025" y="647700"/>
          <a:ext cx="962025" cy="657225"/>
        </a:xfrm>
        <a:prstGeom prst="roundRect">
          <a:avLst>
            <a:gd name="adj" fmla="val 16667"/>
          </a:avLst>
        </a:prstGeom>
        <a:solidFill>
          <a:srgbClr val="FFFFFF"/>
        </a:solidFill>
        <a:ln w="9525">
          <a:solidFill>
            <a:srgbClr val="000000"/>
          </a:solidFill>
          <a:round/>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所定労働時間の範囲</a:t>
          </a:r>
        </a:p>
      </xdr:txBody>
    </xdr:sp>
    <xdr:clientData/>
  </xdr:twoCellAnchor>
  <xdr:twoCellAnchor>
    <xdr:from>
      <xdr:col>5</xdr:col>
      <xdr:colOff>276225</xdr:colOff>
      <xdr:row>4</xdr:row>
      <xdr:rowOff>0</xdr:rowOff>
    </xdr:from>
    <xdr:to>
      <xdr:col>6</xdr:col>
      <xdr:colOff>504825</xdr:colOff>
      <xdr:row>7</xdr:row>
      <xdr:rowOff>142875</xdr:rowOff>
    </xdr:to>
    <xdr:sp macro="" textlink="">
      <xdr:nvSpPr>
        <xdr:cNvPr id="12293" name="AutoShape 5"/>
        <xdr:cNvSpPr>
          <a:spLocks noChangeArrowheads="1"/>
        </xdr:cNvSpPr>
      </xdr:nvSpPr>
      <xdr:spPr bwMode="auto">
        <a:xfrm>
          <a:off x="3562350" y="685800"/>
          <a:ext cx="962025" cy="657225"/>
        </a:xfrm>
        <a:prstGeom prst="roundRect">
          <a:avLst>
            <a:gd name="adj" fmla="val 16667"/>
          </a:avLst>
        </a:prstGeom>
        <a:solidFill>
          <a:srgbClr val="FFFFFF"/>
        </a:solidFill>
        <a:ln w="9525">
          <a:solidFill>
            <a:srgbClr val="000000"/>
          </a:solidFill>
          <a:round/>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所定労働時間の範囲</a:t>
          </a:r>
        </a:p>
      </xdr:txBody>
    </xdr:sp>
    <xdr:clientData/>
  </xdr:twoCellAnchor>
  <xdr:twoCellAnchor>
    <xdr:from>
      <xdr:col>34</xdr:col>
      <xdr:colOff>323850</xdr:colOff>
      <xdr:row>19</xdr:row>
      <xdr:rowOff>85725</xdr:rowOff>
    </xdr:from>
    <xdr:to>
      <xdr:col>37</xdr:col>
      <xdr:colOff>552450</xdr:colOff>
      <xdr:row>21</xdr:row>
      <xdr:rowOff>161925</xdr:rowOff>
    </xdr:to>
    <xdr:sp macro="" textlink="">
      <xdr:nvSpPr>
        <xdr:cNvPr id="12950" name="AutoShape 6"/>
        <xdr:cNvSpPr>
          <a:spLocks noChangeArrowheads="1"/>
        </xdr:cNvSpPr>
      </xdr:nvSpPr>
      <xdr:spPr bwMode="auto">
        <a:xfrm rot="-5400000">
          <a:off x="22455188" y="2338387"/>
          <a:ext cx="419100" cy="2428875"/>
        </a:xfrm>
        <a:prstGeom prst="curvedLeftArrow">
          <a:avLst>
            <a:gd name="adj1" fmla="val 44056"/>
            <a:gd name="adj2" fmla="val 159965"/>
            <a:gd name="adj3" fmla="val 33333"/>
          </a:avLst>
        </a:prstGeom>
        <a:solidFill>
          <a:srgbClr val="FFFFFF"/>
        </a:solidFill>
        <a:ln w="9525">
          <a:solidFill>
            <a:srgbClr val="000000"/>
          </a:solidFill>
          <a:miter lim="800000"/>
          <a:headEnd/>
          <a:tailEnd/>
        </a:ln>
      </xdr:spPr>
    </xdr:sp>
    <xdr:clientData/>
  </xdr:twoCellAnchor>
  <xdr:twoCellAnchor>
    <xdr:from>
      <xdr:col>34</xdr:col>
      <xdr:colOff>323850</xdr:colOff>
      <xdr:row>34</xdr:row>
      <xdr:rowOff>85725</xdr:rowOff>
    </xdr:from>
    <xdr:to>
      <xdr:col>37</xdr:col>
      <xdr:colOff>552450</xdr:colOff>
      <xdr:row>36</xdr:row>
      <xdr:rowOff>161925</xdr:rowOff>
    </xdr:to>
    <xdr:sp macro="" textlink="">
      <xdr:nvSpPr>
        <xdr:cNvPr id="12951" name="AutoShape 7"/>
        <xdr:cNvSpPr>
          <a:spLocks noChangeArrowheads="1"/>
        </xdr:cNvSpPr>
      </xdr:nvSpPr>
      <xdr:spPr bwMode="auto">
        <a:xfrm rot="-5400000">
          <a:off x="22455188" y="4910137"/>
          <a:ext cx="419100" cy="2428875"/>
        </a:xfrm>
        <a:prstGeom prst="curvedLeftArrow">
          <a:avLst>
            <a:gd name="adj1" fmla="val 44056"/>
            <a:gd name="adj2" fmla="val 159965"/>
            <a:gd name="adj3" fmla="val 33333"/>
          </a:avLst>
        </a:prstGeom>
        <a:solidFill>
          <a:srgbClr val="FFFFFF"/>
        </a:solidFill>
        <a:ln w="9525">
          <a:solidFill>
            <a:srgbClr val="000000"/>
          </a:solidFill>
          <a:miter lim="800000"/>
          <a:headEnd/>
          <a:tailEnd/>
        </a:ln>
      </xdr:spPr>
    </xdr:sp>
    <xdr:clientData/>
  </xdr:twoCellAnchor>
  <xdr:twoCellAnchor>
    <xdr:from>
      <xdr:col>34</xdr:col>
      <xdr:colOff>323850</xdr:colOff>
      <xdr:row>49</xdr:row>
      <xdr:rowOff>85725</xdr:rowOff>
    </xdr:from>
    <xdr:to>
      <xdr:col>37</xdr:col>
      <xdr:colOff>552450</xdr:colOff>
      <xdr:row>51</xdr:row>
      <xdr:rowOff>161925</xdr:rowOff>
    </xdr:to>
    <xdr:sp macro="" textlink="">
      <xdr:nvSpPr>
        <xdr:cNvPr id="12952" name="AutoShape 8"/>
        <xdr:cNvSpPr>
          <a:spLocks noChangeArrowheads="1"/>
        </xdr:cNvSpPr>
      </xdr:nvSpPr>
      <xdr:spPr bwMode="auto">
        <a:xfrm rot="-5400000">
          <a:off x="22455188" y="7481887"/>
          <a:ext cx="419100" cy="2428875"/>
        </a:xfrm>
        <a:prstGeom prst="curvedLeftArrow">
          <a:avLst>
            <a:gd name="adj1" fmla="val 44056"/>
            <a:gd name="adj2" fmla="val 159965"/>
            <a:gd name="adj3" fmla="val 33333"/>
          </a:avLst>
        </a:prstGeom>
        <a:solidFill>
          <a:srgbClr val="FFFFFF"/>
        </a:solidFill>
        <a:ln w="9525">
          <a:solidFill>
            <a:srgbClr val="000000"/>
          </a:solidFill>
          <a:miter lim="800000"/>
          <a:headEnd/>
          <a:tailEnd/>
        </a:ln>
      </xdr:spPr>
    </xdr:sp>
    <xdr:clientData/>
  </xdr:twoCellAnchor>
  <xdr:twoCellAnchor editAs="oneCell">
    <xdr:from>
      <xdr:col>34</xdr:col>
      <xdr:colOff>571500</xdr:colOff>
      <xdr:row>27</xdr:row>
      <xdr:rowOff>161925</xdr:rowOff>
    </xdr:from>
    <xdr:to>
      <xdr:col>37</xdr:col>
      <xdr:colOff>257175</xdr:colOff>
      <xdr:row>30</xdr:row>
      <xdr:rowOff>161925</xdr:rowOff>
    </xdr:to>
    <xdr:sp macro="" textlink="">
      <xdr:nvSpPr>
        <xdr:cNvPr id="12297" name="AutoShape 9"/>
        <xdr:cNvSpPr>
          <a:spLocks noChangeArrowheads="1"/>
        </xdr:cNvSpPr>
      </xdr:nvSpPr>
      <xdr:spPr bwMode="auto">
        <a:xfrm>
          <a:off x="21697950" y="4791075"/>
          <a:ext cx="1885950" cy="514350"/>
        </a:xfrm>
        <a:prstGeom prst="wedgeRoundRectCallout">
          <a:avLst>
            <a:gd name="adj1" fmla="val 72727"/>
            <a:gd name="adj2" fmla="val -100000"/>
            <a:gd name="adj3" fmla="val 16667"/>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（水）と（土）を合算し、合算時間が８</a:t>
          </a:r>
          <a:r>
            <a:rPr lang="en-US" altLang="ja-JP" sz="800" b="0" i="0" u="none" strike="noStrike" baseline="0">
              <a:solidFill>
                <a:srgbClr val="000000"/>
              </a:solidFill>
              <a:latin typeface="ＭＳ Ｐゴシック"/>
              <a:ea typeface="ＭＳ Ｐゴシック"/>
            </a:rPr>
            <a:t>H</a:t>
          </a:r>
          <a:r>
            <a:rPr lang="ja-JP" altLang="en-US" sz="800" b="0" i="0" u="none" strike="noStrike" baseline="0">
              <a:solidFill>
                <a:srgbClr val="000000"/>
              </a:solidFill>
              <a:latin typeface="ＭＳ Ｐゴシック"/>
              <a:ea typeface="ＭＳ Ｐゴシック"/>
            </a:rPr>
            <a:t>を超えた日に合算時間の勤務を行ったものとみなす</a:t>
          </a:r>
        </a:p>
      </xdr:txBody>
    </xdr:sp>
    <xdr:clientData/>
  </xdr:twoCellAnchor>
  <xdr:twoCellAnchor editAs="oneCell">
    <xdr:from>
      <xdr:col>12</xdr:col>
      <xdr:colOff>38100</xdr:colOff>
      <xdr:row>40</xdr:row>
      <xdr:rowOff>0</xdr:rowOff>
    </xdr:from>
    <xdr:to>
      <xdr:col>13</xdr:col>
      <xdr:colOff>685800</xdr:colOff>
      <xdr:row>43</xdr:row>
      <xdr:rowOff>0</xdr:rowOff>
    </xdr:to>
    <xdr:sp macro="" textlink="">
      <xdr:nvSpPr>
        <xdr:cNvPr id="12298" name="AutoShape 10"/>
        <xdr:cNvSpPr>
          <a:spLocks noChangeArrowheads="1"/>
        </xdr:cNvSpPr>
      </xdr:nvSpPr>
      <xdr:spPr bwMode="auto">
        <a:xfrm>
          <a:off x="7315200" y="6858000"/>
          <a:ext cx="1381125" cy="514350"/>
        </a:xfrm>
        <a:prstGeom prst="wedgeRoundRectCallout">
          <a:avLst>
            <a:gd name="adj1" fmla="val 59657"/>
            <a:gd name="adj2" fmla="val -48148"/>
            <a:gd name="adj3" fmla="val 16667"/>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法定休日がとれているので休日割増とはならない</a:t>
          </a:r>
        </a:p>
      </xdr:txBody>
    </xdr:sp>
    <xdr:clientData/>
  </xdr:twoCellAnchor>
  <xdr:twoCellAnchor>
    <xdr:from>
      <xdr:col>43</xdr:col>
      <xdr:colOff>323850</xdr:colOff>
      <xdr:row>19</xdr:row>
      <xdr:rowOff>85725</xdr:rowOff>
    </xdr:from>
    <xdr:to>
      <xdr:col>46</xdr:col>
      <xdr:colOff>552450</xdr:colOff>
      <xdr:row>21</xdr:row>
      <xdr:rowOff>161925</xdr:rowOff>
    </xdr:to>
    <xdr:sp macro="" textlink="">
      <xdr:nvSpPr>
        <xdr:cNvPr id="12955" name="AutoShape 11"/>
        <xdr:cNvSpPr>
          <a:spLocks noChangeArrowheads="1"/>
        </xdr:cNvSpPr>
      </xdr:nvSpPr>
      <xdr:spPr bwMode="auto">
        <a:xfrm rot="-5400000">
          <a:off x="28522613" y="2338387"/>
          <a:ext cx="419100" cy="2428875"/>
        </a:xfrm>
        <a:prstGeom prst="curvedLeftArrow">
          <a:avLst>
            <a:gd name="adj1" fmla="val 44056"/>
            <a:gd name="adj2" fmla="val 159965"/>
            <a:gd name="adj3" fmla="val 33333"/>
          </a:avLst>
        </a:prstGeom>
        <a:solidFill>
          <a:srgbClr val="FFFFFF"/>
        </a:solidFill>
        <a:ln w="9525">
          <a:solidFill>
            <a:srgbClr val="000000"/>
          </a:solidFill>
          <a:miter lim="800000"/>
          <a:headEnd/>
          <a:tailEnd/>
        </a:ln>
      </xdr:spPr>
    </xdr:sp>
    <xdr:clientData/>
  </xdr:twoCellAnchor>
  <xdr:twoCellAnchor>
    <xdr:from>
      <xdr:col>43</xdr:col>
      <xdr:colOff>323850</xdr:colOff>
      <xdr:row>34</xdr:row>
      <xdr:rowOff>85725</xdr:rowOff>
    </xdr:from>
    <xdr:to>
      <xdr:col>46</xdr:col>
      <xdr:colOff>552450</xdr:colOff>
      <xdr:row>36</xdr:row>
      <xdr:rowOff>161925</xdr:rowOff>
    </xdr:to>
    <xdr:sp macro="" textlink="">
      <xdr:nvSpPr>
        <xdr:cNvPr id="12956" name="AutoShape 12"/>
        <xdr:cNvSpPr>
          <a:spLocks noChangeArrowheads="1"/>
        </xdr:cNvSpPr>
      </xdr:nvSpPr>
      <xdr:spPr bwMode="auto">
        <a:xfrm rot="-5400000">
          <a:off x="28522613" y="4910137"/>
          <a:ext cx="419100" cy="2428875"/>
        </a:xfrm>
        <a:prstGeom prst="curvedLeftArrow">
          <a:avLst>
            <a:gd name="adj1" fmla="val 44056"/>
            <a:gd name="adj2" fmla="val 159965"/>
            <a:gd name="adj3" fmla="val 33333"/>
          </a:avLst>
        </a:prstGeom>
        <a:solidFill>
          <a:srgbClr val="FFFFFF"/>
        </a:solidFill>
        <a:ln w="9525">
          <a:solidFill>
            <a:srgbClr val="000000"/>
          </a:solidFill>
          <a:miter lim="800000"/>
          <a:headEnd/>
          <a:tailEnd/>
        </a:ln>
      </xdr:spPr>
    </xdr:sp>
    <xdr:clientData/>
  </xdr:twoCellAnchor>
  <xdr:twoCellAnchor>
    <xdr:from>
      <xdr:col>43</xdr:col>
      <xdr:colOff>323850</xdr:colOff>
      <xdr:row>49</xdr:row>
      <xdr:rowOff>85725</xdr:rowOff>
    </xdr:from>
    <xdr:to>
      <xdr:col>46</xdr:col>
      <xdr:colOff>552450</xdr:colOff>
      <xdr:row>51</xdr:row>
      <xdr:rowOff>161925</xdr:rowOff>
    </xdr:to>
    <xdr:sp macro="" textlink="">
      <xdr:nvSpPr>
        <xdr:cNvPr id="12957" name="AutoShape 13"/>
        <xdr:cNvSpPr>
          <a:spLocks noChangeArrowheads="1"/>
        </xdr:cNvSpPr>
      </xdr:nvSpPr>
      <xdr:spPr bwMode="auto">
        <a:xfrm rot="-5400000">
          <a:off x="28522613" y="7481887"/>
          <a:ext cx="419100" cy="2428875"/>
        </a:xfrm>
        <a:prstGeom prst="curvedLeftArrow">
          <a:avLst>
            <a:gd name="adj1" fmla="val 44056"/>
            <a:gd name="adj2" fmla="val 159965"/>
            <a:gd name="adj3" fmla="val 33333"/>
          </a:avLst>
        </a:prstGeom>
        <a:solidFill>
          <a:srgbClr val="FFFFFF"/>
        </a:solidFill>
        <a:ln w="9525">
          <a:solidFill>
            <a:srgbClr val="000000"/>
          </a:solidFill>
          <a:miter lim="800000"/>
          <a:headEnd/>
          <a:tailEnd/>
        </a:ln>
      </xdr:spPr>
    </xdr:sp>
    <xdr:clientData/>
  </xdr:twoCellAnchor>
  <xdr:twoCellAnchor editAs="oneCell">
    <xdr:from>
      <xdr:col>43</xdr:col>
      <xdr:colOff>571500</xdr:colOff>
      <xdr:row>27</xdr:row>
      <xdr:rowOff>161925</xdr:rowOff>
    </xdr:from>
    <xdr:to>
      <xdr:col>46</xdr:col>
      <xdr:colOff>257175</xdr:colOff>
      <xdr:row>30</xdr:row>
      <xdr:rowOff>161925</xdr:rowOff>
    </xdr:to>
    <xdr:sp macro="" textlink="">
      <xdr:nvSpPr>
        <xdr:cNvPr id="12302" name="AutoShape 14"/>
        <xdr:cNvSpPr>
          <a:spLocks noChangeArrowheads="1"/>
        </xdr:cNvSpPr>
      </xdr:nvSpPr>
      <xdr:spPr bwMode="auto">
        <a:xfrm>
          <a:off x="27765375" y="4791075"/>
          <a:ext cx="1885950" cy="514350"/>
        </a:xfrm>
        <a:prstGeom prst="wedgeRoundRectCallout">
          <a:avLst>
            <a:gd name="adj1" fmla="val 72727"/>
            <a:gd name="adj2" fmla="val -100000"/>
            <a:gd name="adj3" fmla="val 16667"/>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（水）と（土）を合算し、（土）に合算時間の勤務を行ったものとみなす</a:t>
          </a:r>
        </a:p>
      </xdr:txBody>
    </xdr:sp>
    <xdr:clientData/>
  </xdr:twoCellAnchor>
  <xdr:twoCellAnchor editAs="oneCell">
    <xdr:from>
      <xdr:col>41</xdr:col>
      <xdr:colOff>57150</xdr:colOff>
      <xdr:row>42</xdr:row>
      <xdr:rowOff>19050</xdr:rowOff>
    </xdr:from>
    <xdr:to>
      <xdr:col>43</xdr:col>
      <xdr:colOff>476250</xdr:colOff>
      <xdr:row>45</xdr:row>
      <xdr:rowOff>19050</xdr:rowOff>
    </xdr:to>
    <xdr:sp macro="" textlink="">
      <xdr:nvSpPr>
        <xdr:cNvPr id="12303" name="AutoShape 15"/>
        <xdr:cNvSpPr>
          <a:spLocks noChangeArrowheads="1"/>
        </xdr:cNvSpPr>
      </xdr:nvSpPr>
      <xdr:spPr bwMode="auto">
        <a:xfrm>
          <a:off x="25784175" y="7219950"/>
          <a:ext cx="1885950" cy="514350"/>
        </a:xfrm>
        <a:prstGeom prst="wedgeRoundRectCallout">
          <a:avLst>
            <a:gd name="adj1" fmla="val -69190"/>
            <a:gd name="adj2" fmla="val -114815"/>
            <a:gd name="adj3" fmla="val 16667"/>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（水）と（土）を合算され、（水）は休日となるため法定休日がとれているものとみなす</a:t>
          </a:r>
        </a:p>
      </xdr:txBody>
    </xdr:sp>
    <xdr:clientData/>
  </xdr:twoCellAnchor>
  <xdr:twoCellAnchor editAs="oneCell">
    <xdr:from>
      <xdr:col>1</xdr:col>
      <xdr:colOff>666750</xdr:colOff>
      <xdr:row>26</xdr:row>
      <xdr:rowOff>95250</xdr:rowOff>
    </xdr:from>
    <xdr:to>
      <xdr:col>3</xdr:col>
      <xdr:colOff>581025</xdr:colOff>
      <xdr:row>29</xdr:row>
      <xdr:rowOff>95250</xdr:rowOff>
    </xdr:to>
    <xdr:sp macro="" textlink="">
      <xdr:nvSpPr>
        <xdr:cNvPr id="12304" name="AutoShape 16"/>
        <xdr:cNvSpPr>
          <a:spLocks noChangeArrowheads="1"/>
        </xdr:cNvSpPr>
      </xdr:nvSpPr>
      <xdr:spPr bwMode="auto">
        <a:xfrm>
          <a:off x="1019175" y="4552950"/>
          <a:ext cx="1381125" cy="514350"/>
        </a:xfrm>
        <a:prstGeom prst="wedgeRoundRectCallout">
          <a:avLst>
            <a:gd name="adj1" fmla="val -72069"/>
            <a:gd name="adj2" fmla="val -68519"/>
            <a:gd name="adj3" fmla="val 16667"/>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法定休日がとれていない場合の法定休日は日曜日とする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23.xml"/><Relationship Id="rId117" Type="http://schemas.openxmlformats.org/officeDocument/2006/relationships/control" Target="../activeX/activeX114.xml"/><Relationship Id="rId21" Type="http://schemas.openxmlformats.org/officeDocument/2006/relationships/control" Target="../activeX/activeX18.xml"/><Relationship Id="rId42" Type="http://schemas.openxmlformats.org/officeDocument/2006/relationships/control" Target="../activeX/activeX39.xml"/><Relationship Id="rId47" Type="http://schemas.openxmlformats.org/officeDocument/2006/relationships/control" Target="../activeX/activeX44.xml"/><Relationship Id="rId63" Type="http://schemas.openxmlformats.org/officeDocument/2006/relationships/control" Target="../activeX/activeX60.xml"/><Relationship Id="rId68" Type="http://schemas.openxmlformats.org/officeDocument/2006/relationships/control" Target="../activeX/activeX65.xml"/><Relationship Id="rId84" Type="http://schemas.openxmlformats.org/officeDocument/2006/relationships/control" Target="../activeX/activeX81.xml"/><Relationship Id="rId89" Type="http://schemas.openxmlformats.org/officeDocument/2006/relationships/control" Target="../activeX/activeX86.xml"/><Relationship Id="rId112" Type="http://schemas.openxmlformats.org/officeDocument/2006/relationships/control" Target="../activeX/activeX109.xml"/><Relationship Id="rId133" Type="http://schemas.openxmlformats.org/officeDocument/2006/relationships/control" Target="../activeX/activeX130.xml"/><Relationship Id="rId138" Type="http://schemas.openxmlformats.org/officeDocument/2006/relationships/control" Target="../activeX/activeX135.xml"/><Relationship Id="rId16" Type="http://schemas.openxmlformats.org/officeDocument/2006/relationships/control" Target="../activeX/activeX13.xml"/><Relationship Id="rId107" Type="http://schemas.openxmlformats.org/officeDocument/2006/relationships/control" Target="../activeX/activeX104.xml"/><Relationship Id="rId11" Type="http://schemas.openxmlformats.org/officeDocument/2006/relationships/control" Target="../activeX/activeX8.xml"/><Relationship Id="rId32" Type="http://schemas.openxmlformats.org/officeDocument/2006/relationships/control" Target="../activeX/activeX29.xml"/><Relationship Id="rId37" Type="http://schemas.openxmlformats.org/officeDocument/2006/relationships/control" Target="../activeX/activeX34.xml"/><Relationship Id="rId53" Type="http://schemas.openxmlformats.org/officeDocument/2006/relationships/control" Target="../activeX/activeX50.xml"/><Relationship Id="rId58" Type="http://schemas.openxmlformats.org/officeDocument/2006/relationships/control" Target="../activeX/activeX55.xml"/><Relationship Id="rId74" Type="http://schemas.openxmlformats.org/officeDocument/2006/relationships/control" Target="../activeX/activeX71.xml"/><Relationship Id="rId79" Type="http://schemas.openxmlformats.org/officeDocument/2006/relationships/control" Target="../activeX/activeX76.xml"/><Relationship Id="rId102" Type="http://schemas.openxmlformats.org/officeDocument/2006/relationships/control" Target="../activeX/activeX99.xml"/><Relationship Id="rId123" Type="http://schemas.openxmlformats.org/officeDocument/2006/relationships/control" Target="../activeX/activeX120.xml"/><Relationship Id="rId128" Type="http://schemas.openxmlformats.org/officeDocument/2006/relationships/control" Target="../activeX/activeX125.xml"/><Relationship Id="rId144" Type="http://schemas.openxmlformats.org/officeDocument/2006/relationships/control" Target="../activeX/activeX141.xml"/><Relationship Id="rId5" Type="http://schemas.openxmlformats.org/officeDocument/2006/relationships/control" Target="../activeX/activeX2.xml"/><Relationship Id="rId90" Type="http://schemas.openxmlformats.org/officeDocument/2006/relationships/control" Target="../activeX/activeX87.xml"/><Relationship Id="rId95" Type="http://schemas.openxmlformats.org/officeDocument/2006/relationships/control" Target="../activeX/activeX92.xml"/><Relationship Id="rId22" Type="http://schemas.openxmlformats.org/officeDocument/2006/relationships/control" Target="../activeX/activeX19.xml"/><Relationship Id="rId27" Type="http://schemas.openxmlformats.org/officeDocument/2006/relationships/control" Target="../activeX/activeX24.xml"/><Relationship Id="rId43" Type="http://schemas.openxmlformats.org/officeDocument/2006/relationships/control" Target="../activeX/activeX40.xml"/><Relationship Id="rId48" Type="http://schemas.openxmlformats.org/officeDocument/2006/relationships/control" Target="../activeX/activeX45.xml"/><Relationship Id="rId64" Type="http://schemas.openxmlformats.org/officeDocument/2006/relationships/control" Target="../activeX/activeX61.xml"/><Relationship Id="rId69" Type="http://schemas.openxmlformats.org/officeDocument/2006/relationships/control" Target="../activeX/activeX66.xml"/><Relationship Id="rId113" Type="http://schemas.openxmlformats.org/officeDocument/2006/relationships/control" Target="../activeX/activeX110.xml"/><Relationship Id="rId118" Type="http://schemas.openxmlformats.org/officeDocument/2006/relationships/control" Target="../activeX/activeX115.xml"/><Relationship Id="rId134" Type="http://schemas.openxmlformats.org/officeDocument/2006/relationships/control" Target="../activeX/activeX131.xml"/><Relationship Id="rId139" Type="http://schemas.openxmlformats.org/officeDocument/2006/relationships/control" Target="../activeX/activeX136.xml"/><Relationship Id="rId80" Type="http://schemas.openxmlformats.org/officeDocument/2006/relationships/control" Target="../activeX/activeX77.xml"/><Relationship Id="rId85" Type="http://schemas.openxmlformats.org/officeDocument/2006/relationships/control" Target="../activeX/activeX82.xml"/><Relationship Id="rId3" Type="http://schemas.openxmlformats.org/officeDocument/2006/relationships/vmlDrawing" Target="../drawings/vmlDrawing1.vml"/><Relationship Id="rId12" Type="http://schemas.openxmlformats.org/officeDocument/2006/relationships/control" Target="../activeX/activeX9.xml"/><Relationship Id="rId17" Type="http://schemas.openxmlformats.org/officeDocument/2006/relationships/control" Target="../activeX/activeX14.xml"/><Relationship Id="rId25" Type="http://schemas.openxmlformats.org/officeDocument/2006/relationships/control" Target="../activeX/activeX22.xml"/><Relationship Id="rId33" Type="http://schemas.openxmlformats.org/officeDocument/2006/relationships/control" Target="../activeX/activeX30.xml"/><Relationship Id="rId38" Type="http://schemas.openxmlformats.org/officeDocument/2006/relationships/control" Target="../activeX/activeX35.xml"/><Relationship Id="rId46" Type="http://schemas.openxmlformats.org/officeDocument/2006/relationships/control" Target="../activeX/activeX43.xml"/><Relationship Id="rId59" Type="http://schemas.openxmlformats.org/officeDocument/2006/relationships/control" Target="../activeX/activeX56.xml"/><Relationship Id="rId67" Type="http://schemas.openxmlformats.org/officeDocument/2006/relationships/control" Target="../activeX/activeX64.xml"/><Relationship Id="rId103" Type="http://schemas.openxmlformats.org/officeDocument/2006/relationships/control" Target="../activeX/activeX100.xml"/><Relationship Id="rId108" Type="http://schemas.openxmlformats.org/officeDocument/2006/relationships/control" Target="../activeX/activeX105.xml"/><Relationship Id="rId116" Type="http://schemas.openxmlformats.org/officeDocument/2006/relationships/control" Target="../activeX/activeX113.xml"/><Relationship Id="rId124" Type="http://schemas.openxmlformats.org/officeDocument/2006/relationships/control" Target="../activeX/activeX121.xml"/><Relationship Id="rId129" Type="http://schemas.openxmlformats.org/officeDocument/2006/relationships/control" Target="../activeX/activeX126.xml"/><Relationship Id="rId137" Type="http://schemas.openxmlformats.org/officeDocument/2006/relationships/control" Target="../activeX/activeX134.xml"/><Relationship Id="rId20" Type="http://schemas.openxmlformats.org/officeDocument/2006/relationships/control" Target="../activeX/activeX17.xml"/><Relationship Id="rId41" Type="http://schemas.openxmlformats.org/officeDocument/2006/relationships/control" Target="../activeX/activeX38.xml"/><Relationship Id="rId54" Type="http://schemas.openxmlformats.org/officeDocument/2006/relationships/control" Target="../activeX/activeX51.xml"/><Relationship Id="rId62" Type="http://schemas.openxmlformats.org/officeDocument/2006/relationships/control" Target="../activeX/activeX59.xml"/><Relationship Id="rId70" Type="http://schemas.openxmlformats.org/officeDocument/2006/relationships/control" Target="../activeX/activeX67.xml"/><Relationship Id="rId75" Type="http://schemas.openxmlformats.org/officeDocument/2006/relationships/control" Target="../activeX/activeX72.xml"/><Relationship Id="rId83" Type="http://schemas.openxmlformats.org/officeDocument/2006/relationships/control" Target="../activeX/activeX80.xml"/><Relationship Id="rId88" Type="http://schemas.openxmlformats.org/officeDocument/2006/relationships/control" Target="../activeX/activeX85.xml"/><Relationship Id="rId91" Type="http://schemas.openxmlformats.org/officeDocument/2006/relationships/control" Target="../activeX/activeX88.xml"/><Relationship Id="rId96" Type="http://schemas.openxmlformats.org/officeDocument/2006/relationships/control" Target="../activeX/activeX93.xml"/><Relationship Id="rId111" Type="http://schemas.openxmlformats.org/officeDocument/2006/relationships/control" Target="../activeX/activeX108.xml"/><Relationship Id="rId132" Type="http://schemas.openxmlformats.org/officeDocument/2006/relationships/control" Target="../activeX/activeX129.xml"/><Relationship Id="rId140" Type="http://schemas.openxmlformats.org/officeDocument/2006/relationships/control" Target="../activeX/activeX137.xml"/><Relationship Id="rId145" Type="http://schemas.openxmlformats.org/officeDocument/2006/relationships/control" Target="../activeX/activeX142.xml"/><Relationship Id="rId1" Type="http://schemas.openxmlformats.org/officeDocument/2006/relationships/printerSettings" Target="../printerSettings/printerSettings1.bin"/><Relationship Id="rId6" Type="http://schemas.openxmlformats.org/officeDocument/2006/relationships/control" Target="../activeX/activeX3.xml"/><Relationship Id="rId15" Type="http://schemas.openxmlformats.org/officeDocument/2006/relationships/control" Target="../activeX/activeX12.xml"/><Relationship Id="rId23" Type="http://schemas.openxmlformats.org/officeDocument/2006/relationships/control" Target="../activeX/activeX20.xml"/><Relationship Id="rId28" Type="http://schemas.openxmlformats.org/officeDocument/2006/relationships/control" Target="../activeX/activeX25.xml"/><Relationship Id="rId36" Type="http://schemas.openxmlformats.org/officeDocument/2006/relationships/control" Target="../activeX/activeX33.xml"/><Relationship Id="rId49" Type="http://schemas.openxmlformats.org/officeDocument/2006/relationships/control" Target="../activeX/activeX46.xml"/><Relationship Id="rId57" Type="http://schemas.openxmlformats.org/officeDocument/2006/relationships/control" Target="../activeX/activeX54.xml"/><Relationship Id="rId106" Type="http://schemas.openxmlformats.org/officeDocument/2006/relationships/control" Target="../activeX/activeX103.xml"/><Relationship Id="rId114" Type="http://schemas.openxmlformats.org/officeDocument/2006/relationships/control" Target="../activeX/activeX111.xml"/><Relationship Id="rId119" Type="http://schemas.openxmlformats.org/officeDocument/2006/relationships/control" Target="../activeX/activeX116.xml"/><Relationship Id="rId127" Type="http://schemas.openxmlformats.org/officeDocument/2006/relationships/control" Target="../activeX/activeX124.xml"/><Relationship Id="rId10" Type="http://schemas.openxmlformats.org/officeDocument/2006/relationships/control" Target="../activeX/activeX7.xml"/><Relationship Id="rId31" Type="http://schemas.openxmlformats.org/officeDocument/2006/relationships/control" Target="../activeX/activeX28.xml"/><Relationship Id="rId44" Type="http://schemas.openxmlformats.org/officeDocument/2006/relationships/control" Target="../activeX/activeX41.xml"/><Relationship Id="rId52" Type="http://schemas.openxmlformats.org/officeDocument/2006/relationships/control" Target="../activeX/activeX49.xml"/><Relationship Id="rId60" Type="http://schemas.openxmlformats.org/officeDocument/2006/relationships/control" Target="../activeX/activeX57.xml"/><Relationship Id="rId65" Type="http://schemas.openxmlformats.org/officeDocument/2006/relationships/control" Target="../activeX/activeX62.xml"/><Relationship Id="rId73" Type="http://schemas.openxmlformats.org/officeDocument/2006/relationships/control" Target="../activeX/activeX70.xml"/><Relationship Id="rId78" Type="http://schemas.openxmlformats.org/officeDocument/2006/relationships/control" Target="../activeX/activeX75.xml"/><Relationship Id="rId81" Type="http://schemas.openxmlformats.org/officeDocument/2006/relationships/control" Target="../activeX/activeX78.xml"/><Relationship Id="rId86" Type="http://schemas.openxmlformats.org/officeDocument/2006/relationships/control" Target="../activeX/activeX83.xml"/><Relationship Id="rId94" Type="http://schemas.openxmlformats.org/officeDocument/2006/relationships/control" Target="../activeX/activeX91.xml"/><Relationship Id="rId99" Type="http://schemas.openxmlformats.org/officeDocument/2006/relationships/control" Target="../activeX/activeX96.xml"/><Relationship Id="rId101" Type="http://schemas.openxmlformats.org/officeDocument/2006/relationships/control" Target="../activeX/activeX98.xml"/><Relationship Id="rId122" Type="http://schemas.openxmlformats.org/officeDocument/2006/relationships/control" Target="../activeX/activeX119.xml"/><Relationship Id="rId130" Type="http://schemas.openxmlformats.org/officeDocument/2006/relationships/control" Target="../activeX/activeX127.xml"/><Relationship Id="rId135" Type="http://schemas.openxmlformats.org/officeDocument/2006/relationships/control" Target="../activeX/activeX132.xml"/><Relationship Id="rId143" Type="http://schemas.openxmlformats.org/officeDocument/2006/relationships/control" Target="../activeX/activeX140.xml"/><Relationship Id="rId4" Type="http://schemas.openxmlformats.org/officeDocument/2006/relationships/control" Target="../activeX/activeX1.xml"/><Relationship Id="rId9" Type="http://schemas.openxmlformats.org/officeDocument/2006/relationships/control" Target="../activeX/activeX6.xml"/><Relationship Id="rId13" Type="http://schemas.openxmlformats.org/officeDocument/2006/relationships/control" Target="../activeX/activeX10.xml"/><Relationship Id="rId18" Type="http://schemas.openxmlformats.org/officeDocument/2006/relationships/control" Target="../activeX/activeX15.xml"/><Relationship Id="rId39" Type="http://schemas.openxmlformats.org/officeDocument/2006/relationships/control" Target="../activeX/activeX36.xml"/><Relationship Id="rId109" Type="http://schemas.openxmlformats.org/officeDocument/2006/relationships/control" Target="../activeX/activeX106.xml"/><Relationship Id="rId34" Type="http://schemas.openxmlformats.org/officeDocument/2006/relationships/control" Target="../activeX/activeX31.xml"/><Relationship Id="rId50" Type="http://schemas.openxmlformats.org/officeDocument/2006/relationships/control" Target="../activeX/activeX47.xml"/><Relationship Id="rId55" Type="http://schemas.openxmlformats.org/officeDocument/2006/relationships/control" Target="../activeX/activeX52.xml"/><Relationship Id="rId76" Type="http://schemas.openxmlformats.org/officeDocument/2006/relationships/control" Target="../activeX/activeX73.xml"/><Relationship Id="rId97" Type="http://schemas.openxmlformats.org/officeDocument/2006/relationships/control" Target="../activeX/activeX94.xml"/><Relationship Id="rId104" Type="http://schemas.openxmlformats.org/officeDocument/2006/relationships/control" Target="../activeX/activeX101.xml"/><Relationship Id="rId120" Type="http://schemas.openxmlformats.org/officeDocument/2006/relationships/control" Target="../activeX/activeX117.xml"/><Relationship Id="rId125" Type="http://schemas.openxmlformats.org/officeDocument/2006/relationships/control" Target="../activeX/activeX122.xml"/><Relationship Id="rId141" Type="http://schemas.openxmlformats.org/officeDocument/2006/relationships/control" Target="../activeX/activeX138.xml"/><Relationship Id="rId146" Type="http://schemas.openxmlformats.org/officeDocument/2006/relationships/control" Target="../activeX/activeX143.xml"/><Relationship Id="rId7" Type="http://schemas.openxmlformats.org/officeDocument/2006/relationships/control" Target="../activeX/activeX4.xml"/><Relationship Id="rId71" Type="http://schemas.openxmlformats.org/officeDocument/2006/relationships/control" Target="../activeX/activeX68.xml"/><Relationship Id="rId92" Type="http://schemas.openxmlformats.org/officeDocument/2006/relationships/control" Target="../activeX/activeX89.xml"/><Relationship Id="rId2" Type="http://schemas.openxmlformats.org/officeDocument/2006/relationships/drawing" Target="../drawings/drawing1.xml"/><Relationship Id="rId29" Type="http://schemas.openxmlformats.org/officeDocument/2006/relationships/control" Target="../activeX/activeX26.xml"/><Relationship Id="rId24" Type="http://schemas.openxmlformats.org/officeDocument/2006/relationships/control" Target="../activeX/activeX21.xml"/><Relationship Id="rId40" Type="http://schemas.openxmlformats.org/officeDocument/2006/relationships/control" Target="../activeX/activeX37.xml"/><Relationship Id="rId45" Type="http://schemas.openxmlformats.org/officeDocument/2006/relationships/control" Target="../activeX/activeX42.xml"/><Relationship Id="rId66" Type="http://schemas.openxmlformats.org/officeDocument/2006/relationships/control" Target="../activeX/activeX63.xml"/><Relationship Id="rId87" Type="http://schemas.openxmlformats.org/officeDocument/2006/relationships/control" Target="../activeX/activeX84.xml"/><Relationship Id="rId110" Type="http://schemas.openxmlformats.org/officeDocument/2006/relationships/control" Target="../activeX/activeX107.xml"/><Relationship Id="rId115" Type="http://schemas.openxmlformats.org/officeDocument/2006/relationships/control" Target="../activeX/activeX112.xml"/><Relationship Id="rId131" Type="http://schemas.openxmlformats.org/officeDocument/2006/relationships/control" Target="../activeX/activeX128.xml"/><Relationship Id="rId136" Type="http://schemas.openxmlformats.org/officeDocument/2006/relationships/control" Target="../activeX/activeX133.xml"/><Relationship Id="rId61" Type="http://schemas.openxmlformats.org/officeDocument/2006/relationships/control" Target="../activeX/activeX58.xml"/><Relationship Id="rId82" Type="http://schemas.openxmlformats.org/officeDocument/2006/relationships/control" Target="../activeX/activeX79.xml"/><Relationship Id="rId19" Type="http://schemas.openxmlformats.org/officeDocument/2006/relationships/control" Target="../activeX/activeX16.xml"/><Relationship Id="rId14" Type="http://schemas.openxmlformats.org/officeDocument/2006/relationships/control" Target="../activeX/activeX11.xml"/><Relationship Id="rId30" Type="http://schemas.openxmlformats.org/officeDocument/2006/relationships/control" Target="../activeX/activeX27.xml"/><Relationship Id="rId35" Type="http://schemas.openxmlformats.org/officeDocument/2006/relationships/control" Target="../activeX/activeX32.xml"/><Relationship Id="rId56" Type="http://schemas.openxmlformats.org/officeDocument/2006/relationships/control" Target="../activeX/activeX53.xml"/><Relationship Id="rId77" Type="http://schemas.openxmlformats.org/officeDocument/2006/relationships/control" Target="../activeX/activeX74.xml"/><Relationship Id="rId100" Type="http://schemas.openxmlformats.org/officeDocument/2006/relationships/control" Target="../activeX/activeX97.xml"/><Relationship Id="rId105" Type="http://schemas.openxmlformats.org/officeDocument/2006/relationships/control" Target="../activeX/activeX102.xml"/><Relationship Id="rId126" Type="http://schemas.openxmlformats.org/officeDocument/2006/relationships/control" Target="../activeX/activeX123.xml"/><Relationship Id="rId147" Type="http://schemas.openxmlformats.org/officeDocument/2006/relationships/control" Target="../activeX/activeX144.xml"/><Relationship Id="rId8" Type="http://schemas.openxmlformats.org/officeDocument/2006/relationships/control" Target="../activeX/activeX5.xml"/><Relationship Id="rId51" Type="http://schemas.openxmlformats.org/officeDocument/2006/relationships/control" Target="../activeX/activeX48.xml"/><Relationship Id="rId72" Type="http://schemas.openxmlformats.org/officeDocument/2006/relationships/control" Target="../activeX/activeX69.xml"/><Relationship Id="rId93" Type="http://schemas.openxmlformats.org/officeDocument/2006/relationships/control" Target="../activeX/activeX90.xml"/><Relationship Id="rId98" Type="http://schemas.openxmlformats.org/officeDocument/2006/relationships/control" Target="../activeX/activeX95.xml"/><Relationship Id="rId121" Type="http://schemas.openxmlformats.org/officeDocument/2006/relationships/control" Target="../activeX/activeX118.xml"/><Relationship Id="rId142" Type="http://schemas.openxmlformats.org/officeDocument/2006/relationships/control" Target="../activeX/activeX13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ontrol" Target="../activeX/activeX167.xml"/><Relationship Id="rId117" Type="http://schemas.openxmlformats.org/officeDocument/2006/relationships/control" Target="../activeX/activeX258.xml"/><Relationship Id="rId21" Type="http://schemas.openxmlformats.org/officeDocument/2006/relationships/control" Target="../activeX/activeX162.xml"/><Relationship Id="rId42" Type="http://schemas.openxmlformats.org/officeDocument/2006/relationships/control" Target="../activeX/activeX183.xml"/><Relationship Id="rId47" Type="http://schemas.openxmlformats.org/officeDocument/2006/relationships/control" Target="../activeX/activeX188.xml"/><Relationship Id="rId63" Type="http://schemas.openxmlformats.org/officeDocument/2006/relationships/control" Target="../activeX/activeX204.xml"/><Relationship Id="rId68" Type="http://schemas.openxmlformats.org/officeDocument/2006/relationships/control" Target="../activeX/activeX209.xml"/><Relationship Id="rId84" Type="http://schemas.openxmlformats.org/officeDocument/2006/relationships/control" Target="../activeX/activeX225.xml"/><Relationship Id="rId89" Type="http://schemas.openxmlformats.org/officeDocument/2006/relationships/control" Target="../activeX/activeX230.xml"/><Relationship Id="rId112" Type="http://schemas.openxmlformats.org/officeDocument/2006/relationships/control" Target="../activeX/activeX253.xml"/><Relationship Id="rId133" Type="http://schemas.openxmlformats.org/officeDocument/2006/relationships/control" Target="../activeX/activeX274.xml"/><Relationship Id="rId138" Type="http://schemas.openxmlformats.org/officeDocument/2006/relationships/control" Target="../activeX/activeX279.xml"/><Relationship Id="rId16" Type="http://schemas.openxmlformats.org/officeDocument/2006/relationships/control" Target="../activeX/activeX157.xml"/><Relationship Id="rId107" Type="http://schemas.openxmlformats.org/officeDocument/2006/relationships/control" Target="../activeX/activeX248.xml"/><Relationship Id="rId11" Type="http://schemas.openxmlformats.org/officeDocument/2006/relationships/control" Target="../activeX/activeX152.xml"/><Relationship Id="rId32" Type="http://schemas.openxmlformats.org/officeDocument/2006/relationships/control" Target="../activeX/activeX173.xml"/><Relationship Id="rId37" Type="http://schemas.openxmlformats.org/officeDocument/2006/relationships/control" Target="../activeX/activeX178.xml"/><Relationship Id="rId53" Type="http://schemas.openxmlformats.org/officeDocument/2006/relationships/control" Target="../activeX/activeX194.xml"/><Relationship Id="rId58" Type="http://schemas.openxmlformats.org/officeDocument/2006/relationships/control" Target="../activeX/activeX199.xml"/><Relationship Id="rId74" Type="http://schemas.openxmlformats.org/officeDocument/2006/relationships/control" Target="../activeX/activeX215.xml"/><Relationship Id="rId79" Type="http://schemas.openxmlformats.org/officeDocument/2006/relationships/control" Target="../activeX/activeX220.xml"/><Relationship Id="rId102" Type="http://schemas.openxmlformats.org/officeDocument/2006/relationships/control" Target="../activeX/activeX243.xml"/><Relationship Id="rId123" Type="http://schemas.openxmlformats.org/officeDocument/2006/relationships/control" Target="../activeX/activeX264.xml"/><Relationship Id="rId128" Type="http://schemas.openxmlformats.org/officeDocument/2006/relationships/control" Target="../activeX/activeX269.xml"/><Relationship Id="rId144" Type="http://schemas.openxmlformats.org/officeDocument/2006/relationships/control" Target="../activeX/activeX285.xml"/><Relationship Id="rId5" Type="http://schemas.openxmlformats.org/officeDocument/2006/relationships/control" Target="../activeX/activeX146.xml"/><Relationship Id="rId90" Type="http://schemas.openxmlformats.org/officeDocument/2006/relationships/control" Target="../activeX/activeX231.xml"/><Relationship Id="rId95" Type="http://schemas.openxmlformats.org/officeDocument/2006/relationships/control" Target="../activeX/activeX236.xml"/><Relationship Id="rId22" Type="http://schemas.openxmlformats.org/officeDocument/2006/relationships/control" Target="../activeX/activeX163.xml"/><Relationship Id="rId27" Type="http://schemas.openxmlformats.org/officeDocument/2006/relationships/control" Target="../activeX/activeX168.xml"/><Relationship Id="rId43" Type="http://schemas.openxmlformats.org/officeDocument/2006/relationships/control" Target="../activeX/activeX184.xml"/><Relationship Id="rId48" Type="http://schemas.openxmlformats.org/officeDocument/2006/relationships/control" Target="../activeX/activeX189.xml"/><Relationship Id="rId64" Type="http://schemas.openxmlformats.org/officeDocument/2006/relationships/control" Target="../activeX/activeX205.xml"/><Relationship Id="rId69" Type="http://schemas.openxmlformats.org/officeDocument/2006/relationships/control" Target="../activeX/activeX210.xml"/><Relationship Id="rId113" Type="http://schemas.openxmlformats.org/officeDocument/2006/relationships/control" Target="../activeX/activeX254.xml"/><Relationship Id="rId118" Type="http://schemas.openxmlformats.org/officeDocument/2006/relationships/control" Target="../activeX/activeX259.xml"/><Relationship Id="rId134" Type="http://schemas.openxmlformats.org/officeDocument/2006/relationships/control" Target="../activeX/activeX275.xml"/><Relationship Id="rId139" Type="http://schemas.openxmlformats.org/officeDocument/2006/relationships/control" Target="../activeX/activeX280.xml"/><Relationship Id="rId80" Type="http://schemas.openxmlformats.org/officeDocument/2006/relationships/control" Target="../activeX/activeX221.xml"/><Relationship Id="rId85" Type="http://schemas.openxmlformats.org/officeDocument/2006/relationships/control" Target="../activeX/activeX226.xml"/><Relationship Id="rId3" Type="http://schemas.openxmlformats.org/officeDocument/2006/relationships/vmlDrawing" Target="../drawings/vmlDrawing2.vml"/><Relationship Id="rId12" Type="http://schemas.openxmlformats.org/officeDocument/2006/relationships/control" Target="../activeX/activeX153.xml"/><Relationship Id="rId17" Type="http://schemas.openxmlformats.org/officeDocument/2006/relationships/control" Target="../activeX/activeX158.xml"/><Relationship Id="rId25" Type="http://schemas.openxmlformats.org/officeDocument/2006/relationships/control" Target="../activeX/activeX166.xml"/><Relationship Id="rId33" Type="http://schemas.openxmlformats.org/officeDocument/2006/relationships/control" Target="../activeX/activeX174.xml"/><Relationship Id="rId38" Type="http://schemas.openxmlformats.org/officeDocument/2006/relationships/control" Target="../activeX/activeX179.xml"/><Relationship Id="rId46" Type="http://schemas.openxmlformats.org/officeDocument/2006/relationships/control" Target="../activeX/activeX187.xml"/><Relationship Id="rId59" Type="http://schemas.openxmlformats.org/officeDocument/2006/relationships/control" Target="../activeX/activeX200.xml"/><Relationship Id="rId67" Type="http://schemas.openxmlformats.org/officeDocument/2006/relationships/control" Target="../activeX/activeX208.xml"/><Relationship Id="rId103" Type="http://schemas.openxmlformats.org/officeDocument/2006/relationships/control" Target="../activeX/activeX244.xml"/><Relationship Id="rId108" Type="http://schemas.openxmlformats.org/officeDocument/2006/relationships/control" Target="../activeX/activeX249.xml"/><Relationship Id="rId116" Type="http://schemas.openxmlformats.org/officeDocument/2006/relationships/control" Target="../activeX/activeX257.xml"/><Relationship Id="rId124" Type="http://schemas.openxmlformats.org/officeDocument/2006/relationships/control" Target="../activeX/activeX265.xml"/><Relationship Id="rId129" Type="http://schemas.openxmlformats.org/officeDocument/2006/relationships/control" Target="../activeX/activeX270.xml"/><Relationship Id="rId137" Type="http://schemas.openxmlformats.org/officeDocument/2006/relationships/control" Target="../activeX/activeX278.xml"/><Relationship Id="rId20" Type="http://schemas.openxmlformats.org/officeDocument/2006/relationships/control" Target="../activeX/activeX161.xml"/><Relationship Id="rId41" Type="http://schemas.openxmlformats.org/officeDocument/2006/relationships/control" Target="../activeX/activeX182.xml"/><Relationship Id="rId54" Type="http://schemas.openxmlformats.org/officeDocument/2006/relationships/control" Target="../activeX/activeX195.xml"/><Relationship Id="rId62" Type="http://schemas.openxmlformats.org/officeDocument/2006/relationships/control" Target="../activeX/activeX203.xml"/><Relationship Id="rId70" Type="http://schemas.openxmlformats.org/officeDocument/2006/relationships/control" Target="../activeX/activeX211.xml"/><Relationship Id="rId75" Type="http://schemas.openxmlformats.org/officeDocument/2006/relationships/control" Target="../activeX/activeX216.xml"/><Relationship Id="rId83" Type="http://schemas.openxmlformats.org/officeDocument/2006/relationships/control" Target="../activeX/activeX224.xml"/><Relationship Id="rId88" Type="http://schemas.openxmlformats.org/officeDocument/2006/relationships/control" Target="../activeX/activeX229.xml"/><Relationship Id="rId91" Type="http://schemas.openxmlformats.org/officeDocument/2006/relationships/control" Target="../activeX/activeX232.xml"/><Relationship Id="rId96" Type="http://schemas.openxmlformats.org/officeDocument/2006/relationships/control" Target="../activeX/activeX237.xml"/><Relationship Id="rId111" Type="http://schemas.openxmlformats.org/officeDocument/2006/relationships/control" Target="../activeX/activeX252.xml"/><Relationship Id="rId132" Type="http://schemas.openxmlformats.org/officeDocument/2006/relationships/control" Target="../activeX/activeX273.xml"/><Relationship Id="rId140" Type="http://schemas.openxmlformats.org/officeDocument/2006/relationships/control" Target="../activeX/activeX281.xml"/><Relationship Id="rId145" Type="http://schemas.openxmlformats.org/officeDocument/2006/relationships/control" Target="../activeX/activeX286.xml"/><Relationship Id="rId1" Type="http://schemas.openxmlformats.org/officeDocument/2006/relationships/printerSettings" Target="../printerSettings/printerSettings3.bin"/><Relationship Id="rId6" Type="http://schemas.openxmlformats.org/officeDocument/2006/relationships/control" Target="../activeX/activeX147.xml"/><Relationship Id="rId15" Type="http://schemas.openxmlformats.org/officeDocument/2006/relationships/control" Target="../activeX/activeX156.xml"/><Relationship Id="rId23" Type="http://schemas.openxmlformats.org/officeDocument/2006/relationships/control" Target="../activeX/activeX164.xml"/><Relationship Id="rId28" Type="http://schemas.openxmlformats.org/officeDocument/2006/relationships/control" Target="../activeX/activeX169.xml"/><Relationship Id="rId36" Type="http://schemas.openxmlformats.org/officeDocument/2006/relationships/control" Target="../activeX/activeX177.xml"/><Relationship Id="rId49" Type="http://schemas.openxmlformats.org/officeDocument/2006/relationships/control" Target="../activeX/activeX190.xml"/><Relationship Id="rId57" Type="http://schemas.openxmlformats.org/officeDocument/2006/relationships/control" Target="../activeX/activeX198.xml"/><Relationship Id="rId106" Type="http://schemas.openxmlformats.org/officeDocument/2006/relationships/control" Target="../activeX/activeX247.xml"/><Relationship Id="rId114" Type="http://schemas.openxmlformats.org/officeDocument/2006/relationships/control" Target="../activeX/activeX255.xml"/><Relationship Id="rId119" Type="http://schemas.openxmlformats.org/officeDocument/2006/relationships/control" Target="../activeX/activeX260.xml"/><Relationship Id="rId127" Type="http://schemas.openxmlformats.org/officeDocument/2006/relationships/control" Target="../activeX/activeX268.xml"/><Relationship Id="rId10" Type="http://schemas.openxmlformats.org/officeDocument/2006/relationships/control" Target="../activeX/activeX151.xml"/><Relationship Id="rId31" Type="http://schemas.openxmlformats.org/officeDocument/2006/relationships/control" Target="../activeX/activeX172.xml"/><Relationship Id="rId44" Type="http://schemas.openxmlformats.org/officeDocument/2006/relationships/control" Target="../activeX/activeX185.xml"/><Relationship Id="rId52" Type="http://schemas.openxmlformats.org/officeDocument/2006/relationships/control" Target="../activeX/activeX193.xml"/><Relationship Id="rId60" Type="http://schemas.openxmlformats.org/officeDocument/2006/relationships/control" Target="../activeX/activeX201.xml"/><Relationship Id="rId65" Type="http://schemas.openxmlformats.org/officeDocument/2006/relationships/control" Target="../activeX/activeX206.xml"/><Relationship Id="rId73" Type="http://schemas.openxmlformats.org/officeDocument/2006/relationships/control" Target="../activeX/activeX214.xml"/><Relationship Id="rId78" Type="http://schemas.openxmlformats.org/officeDocument/2006/relationships/control" Target="../activeX/activeX219.xml"/><Relationship Id="rId81" Type="http://schemas.openxmlformats.org/officeDocument/2006/relationships/control" Target="../activeX/activeX222.xml"/><Relationship Id="rId86" Type="http://schemas.openxmlformats.org/officeDocument/2006/relationships/control" Target="../activeX/activeX227.xml"/><Relationship Id="rId94" Type="http://schemas.openxmlformats.org/officeDocument/2006/relationships/control" Target="../activeX/activeX235.xml"/><Relationship Id="rId99" Type="http://schemas.openxmlformats.org/officeDocument/2006/relationships/control" Target="../activeX/activeX240.xml"/><Relationship Id="rId101" Type="http://schemas.openxmlformats.org/officeDocument/2006/relationships/control" Target="../activeX/activeX242.xml"/><Relationship Id="rId122" Type="http://schemas.openxmlformats.org/officeDocument/2006/relationships/control" Target="../activeX/activeX263.xml"/><Relationship Id="rId130" Type="http://schemas.openxmlformats.org/officeDocument/2006/relationships/control" Target="../activeX/activeX271.xml"/><Relationship Id="rId135" Type="http://schemas.openxmlformats.org/officeDocument/2006/relationships/control" Target="../activeX/activeX276.xml"/><Relationship Id="rId143" Type="http://schemas.openxmlformats.org/officeDocument/2006/relationships/control" Target="../activeX/activeX284.xml"/><Relationship Id="rId4" Type="http://schemas.openxmlformats.org/officeDocument/2006/relationships/control" Target="../activeX/activeX145.xml"/><Relationship Id="rId9" Type="http://schemas.openxmlformats.org/officeDocument/2006/relationships/control" Target="../activeX/activeX150.xml"/><Relationship Id="rId13" Type="http://schemas.openxmlformats.org/officeDocument/2006/relationships/control" Target="../activeX/activeX154.xml"/><Relationship Id="rId18" Type="http://schemas.openxmlformats.org/officeDocument/2006/relationships/control" Target="../activeX/activeX159.xml"/><Relationship Id="rId39" Type="http://schemas.openxmlformats.org/officeDocument/2006/relationships/control" Target="../activeX/activeX180.xml"/><Relationship Id="rId109" Type="http://schemas.openxmlformats.org/officeDocument/2006/relationships/control" Target="../activeX/activeX250.xml"/><Relationship Id="rId34" Type="http://schemas.openxmlformats.org/officeDocument/2006/relationships/control" Target="../activeX/activeX175.xml"/><Relationship Id="rId50" Type="http://schemas.openxmlformats.org/officeDocument/2006/relationships/control" Target="../activeX/activeX191.xml"/><Relationship Id="rId55" Type="http://schemas.openxmlformats.org/officeDocument/2006/relationships/control" Target="../activeX/activeX196.xml"/><Relationship Id="rId76" Type="http://schemas.openxmlformats.org/officeDocument/2006/relationships/control" Target="../activeX/activeX217.xml"/><Relationship Id="rId97" Type="http://schemas.openxmlformats.org/officeDocument/2006/relationships/control" Target="../activeX/activeX238.xml"/><Relationship Id="rId104" Type="http://schemas.openxmlformats.org/officeDocument/2006/relationships/control" Target="../activeX/activeX245.xml"/><Relationship Id="rId120" Type="http://schemas.openxmlformats.org/officeDocument/2006/relationships/control" Target="../activeX/activeX261.xml"/><Relationship Id="rId125" Type="http://schemas.openxmlformats.org/officeDocument/2006/relationships/control" Target="../activeX/activeX266.xml"/><Relationship Id="rId141" Type="http://schemas.openxmlformats.org/officeDocument/2006/relationships/control" Target="../activeX/activeX282.xml"/><Relationship Id="rId146" Type="http://schemas.openxmlformats.org/officeDocument/2006/relationships/control" Target="../activeX/activeX287.xml"/><Relationship Id="rId7" Type="http://schemas.openxmlformats.org/officeDocument/2006/relationships/control" Target="../activeX/activeX148.xml"/><Relationship Id="rId71" Type="http://schemas.openxmlformats.org/officeDocument/2006/relationships/control" Target="../activeX/activeX212.xml"/><Relationship Id="rId92" Type="http://schemas.openxmlformats.org/officeDocument/2006/relationships/control" Target="../activeX/activeX233.xml"/><Relationship Id="rId2" Type="http://schemas.openxmlformats.org/officeDocument/2006/relationships/drawing" Target="../drawings/drawing2.xml"/><Relationship Id="rId29" Type="http://schemas.openxmlformats.org/officeDocument/2006/relationships/control" Target="../activeX/activeX170.xml"/><Relationship Id="rId24" Type="http://schemas.openxmlformats.org/officeDocument/2006/relationships/control" Target="../activeX/activeX165.xml"/><Relationship Id="rId40" Type="http://schemas.openxmlformats.org/officeDocument/2006/relationships/control" Target="../activeX/activeX181.xml"/><Relationship Id="rId45" Type="http://schemas.openxmlformats.org/officeDocument/2006/relationships/control" Target="../activeX/activeX186.xml"/><Relationship Id="rId66" Type="http://schemas.openxmlformats.org/officeDocument/2006/relationships/control" Target="../activeX/activeX207.xml"/><Relationship Id="rId87" Type="http://schemas.openxmlformats.org/officeDocument/2006/relationships/control" Target="../activeX/activeX228.xml"/><Relationship Id="rId110" Type="http://schemas.openxmlformats.org/officeDocument/2006/relationships/control" Target="../activeX/activeX251.xml"/><Relationship Id="rId115" Type="http://schemas.openxmlformats.org/officeDocument/2006/relationships/control" Target="../activeX/activeX256.xml"/><Relationship Id="rId131" Type="http://schemas.openxmlformats.org/officeDocument/2006/relationships/control" Target="../activeX/activeX272.xml"/><Relationship Id="rId136" Type="http://schemas.openxmlformats.org/officeDocument/2006/relationships/control" Target="../activeX/activeX277.xml"/><Relationship Id="rId61" Type="http://schemas.openxmlformats.org/officeDocument/2006/relationships/control" Target="../activeX/activeX202.xml"/><Relationship Id="rId82" Type="http://schemas.openxmlformats.org/officeDocument/2006/relationships/control" Target="../activeX/activeX223.xml"/><Relationship Id="rId19" Type="http://schemas.openxmlformats.org/officeDocument/2006/relationships/control" Target="../activeX/activeX160.xml"/><Relationship Id="rId14" Type="http://schemas.openxmlformats.org/officeDocument/2006/relationships/control" Target="../activeX/activeX155.xml"/><Relationship Id="rId30" Type="http://schemas.openxmlformats.org/officeDocument/2006/relationships/control" Target="../activeX/activeX171.xml"/><Relationship Id="rId35" Type="http://schemas.openxmlformats.org/officeDocument/2006/relationships/control" Target="../activeX/activeX176.xml"/><Relationship Id="rId56" Type="http://schemas.openxmlformats.org/officeDocument/2006/relationships/control" Target="../activeX/activeX197.xml"/><Relationship Id="rId77" Type="http://schemas.openxmlformats.org/officeDocument/2006/relationships/control" Target="../activeX/activeX218.xml"/><Relationship Id="rId100" Type="http://schemas.openxmlformats.org/officeDocument/2006/relationships/control" Target="../activeX/activeX241.xml"/><Relationship Id="rId105" Type="http://schemas.openxmlformats.org/officeDocument/2006/relationships/control" Target="../activeX/activeX246.xml"/><Relationship Id="rId126" Type="http://schemas.openxmlformats.org/officeDocument/2006/relationships/control" Target="../activeX/activeX267.xml"/><Relationship Id="rId147" Type="http://schemas.openxmlformats.org/officeDocument/2006/relationships/control" Target="../activeX/activeX288.xml"/><Relationship Id="rId8" Type="http://schemas.openxmlformats.org/officeDocument/2006/relationships/control" Target="../activeX/activeX149.xml"/><Relationship Id="rId51" Type="http://schemas.openxmlformats.org/officeDocument/2006/relationships/control" Target="../activeX/activeX192.xml"/><Relationship Id="rId72" Type="http://schemas.openxmlformats.org/officeDocument/2006/relationships/control" Target="../activeX/activeX213.xml"/><Relationship Id="rId93" Type="http://schemas.openxmlformats.org/officeDocument/2006/relationships/control" Target="../activeX/activeX234.xml"/><Relationship Id="rId98" Type="http://schemas.openxmlformats.org/officeDocument/2006/relationships/control" Target="../activeX/activeX239.xml"/><Relationship Id="rId121" Type="http://schemas.openxmlformats.org/officeDocument/2006/relationships/control" Target="../activeX/activeX262.xml"/><Relationship Id="rId142" Type="http://schemas.openxmlformats.org/officeDocument/2006/relationships/control" Target="../activeX/activeX28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1"/>
  <dimension ref="A1:AB67"/>
  <sheetViews>
    <sheetView showGridLines="0" zoomScale="115" zoomScaleNormal="115" workbookViewId="0">
      <pane ySplit="6" topLeftCell="A13" activePane="bottomLeft" state="frozen"/>
      <selection activeCell="K16" sqref="K16:M18"/>
      <selection pane="bottomLeft" activeCell="I5" sqref="I5"/>
    </sheetView>
  </sheetViews>
  <sheetFormatPr defaultRowHeight="13.5"/>
  <cols>
    <col min="1" max="1" width="1.5703125" style="133" customWidth="1"/>
    <col min="2" max="2" width="7.28515625" style="4" customWidth="1"/>
    <col min="3" max="3" width="8.7109375" style="4" customWidth="1"/>
    <col min="4" max="4" width="3.85546875" style="4" customWidth="1"/>
    <col min="5" max="5" width="8.7109375" style="1" customWidth="1"/>
    <col min="6" max="6" width="8.42578125" style="133" customWidth="1"/>
    <col min="7" max="7" width="1.42578125" style="133" customWidth="1"/>
    <col min="8" max="8" width="6.85546875" style="133" customWidth="1"/>
    <col min="9" max="9" width="6.7109375" style="133" customWidth="1"/>
    <col min="10" max="10" width="3" style="133" customWidth="1"/>
    <col min="11" max="11" width="17.7109375" style="133" customWidth="1"/>
    <col min="12" max="12" width="8.5703125" style="133" customWidth="1"/>
    <col min="13" max="13" width="9.85546875" style="133" customWidth="1"/>
    <col min="14" max="14" width="8.42578125" style="133" customWidth="1"/>
    <col min="15" max="15" width="8.5703125" style="4" customWidth="1"/>
    <col min="16" max="16" width="1.7109375" style="4" customWidth="1"/>
    <col min="17" max="17" width="10.7109375" style="2" customWidth="1"/>
    <col min="18" max="18" width="13.7109375" style="2" customWidth="1"/>
    <col min="19" max="19" width="3.85546875" style="2" customWidth="1"/>
    <col min="20" max="20" width="20.7109375" style="174" hidden="1" customWidth="1"/>
    <col min="21" max="28" width="0" style="174" hidden="1" customWidth="1"/>
    <col min="29" max="29" width="0" style="2" hidden="1" customWidth="1"/>
    <col min="30" max="16384" width="9.140625" style="2"/>
  </cols>
  <sheetData>
    <row r="1" spans="1:28" ht="19.5" customHeight="1" thickTop="1">
      <c r="A1" s="133" t="str">
        <f>"【"&amp;パラメタ!E1&amp;"】"</f>
        <v>【株式会社システムリンク】</v>
      </c>
      <c r="J1" s="125" t="s">
        <v>3</v>
      </c>
      <c r="L1" s="13"/>
      <c r="M1" s="277">
        <f ca="1">NOW()</f>
        <v>42411.30500497685</v>
      </c>
      <c r="N1" s="278"/>
      <c r="O1" s="278"/>
      <c r="P1" s="33"/>
      <c r="Q1" s="46" t="s">
        <v>20</v>
      </c>
      <c r="R1" s="179">
        <v>42370</v>
      </c>
      <c r="S1" s="36"/>
    </row>
    <row r="2" spans="1:28" ht="13.5" customHeight="1">
      <c r="B2" s="133"/>
      <c r="C2" s="9"/>
      <c r="D2" s="9"/>
      <c r="E2" s="3"/>
      <c r="J2" s="32" t="str">
        <f>"（" &amp; TEXT(R1,"ggge年m月") &amp; IF(S2="○",R2,IF(S3="○",R3,"")) &amp; "）"</f>
        <v>（平成28年1月上期分）</v>
      </c>
      <c r="K2" s="12"/>
      <c r="L2" s="12"/>
      <c r="M2" s="12"/>
      <c r="N2" s="12"/>
      <c r="O2" s="10"/>
      <c r="P2" s="10"/>
      <c r="Q2" s="47" t="s">
        <v>21</v>
      </c>
      <c r="R2" s="38" t="s">
        <v>23</v>
      </c>
      <c r="S2" s="188" t="s">
        <v>22</v>
      </c>
    </row>
    <row r="3" spans="1:28" ht="13.5" customHeight="1">
      <c r="Q3" s="37"/>
      <c r="R3" s="38" t="s">
        <v>24</v>
      </c>
      <c r="S3" s="188"/>
    </row>
    <row r="4" spans="1:28" ht="27.75" customHeight="1">
      <c r="A4" s="5"/>
      <c r="B4" s="15" t="s">
        <v>14</v>
      </c>
      <c r="C4" s="296" t="s">
        <v>15</v>
      </c>
      <c r="D4" s="297"/>
      <c r="E4" s="15" t="s">
        <v>129</v>
      </c>
      <c r="F4" s="180" t="s">
        <v>159</v>
      </c>
      <c r="G4" s="296" t="s">
        <v>128</v>
      </c>
      <c r="H4" s="297"/>
      <c r="I4" s="293"/>
      <c r="J4" s="294"/>
      <c r="K4" s="295"/>
      <c r="L4" s="15" t="s">
        <v>17</v>
      </c>
      <c r="M4" s="183">
        <v>42403</v>
      </c>
      <c r="N4" s="17" t="s">
        <v>18</v>
      </c>
      <c r="O4" s="14"/>
      <c r="P4" s="34"/>
      <c r="Q4" s="37"/>
      <c r="R4" s="40"/>
      <c r="S4" s="39"/>
    </row>
    <row r="5" spans="1:28" ht="13.5" customHeight="1">
      <c r="B5" s="18" t="s">
        <v>0</v>
      </c>
      <c r="C5" s="19" t="s">
        <v>4</v>
      </c>
      <c r="D5" s="20" t="s">
        <v>19</v>
      </c>
      <c r="E5" s="21" t="s">
        <v>5</v>
      </c>
      <c r="F5" s="22" t="s">
        <v>7</v>
      </c>
      <c r="G5" s="23" t="s">
        <v>9</v>
      </c>
      <c r="H5" s="24"/>
      <c r="I5" s="24"/>
      <c r="J5" s="24"/>
      <c r="K5" s="23" t="s">
        <v>2</v>
      </c>
      <c r="L5" s="24"/>
      <c r="M5" s="24"/>
      <c r="N5" s="279" t="s">
        <v>115</v>
      </c>
      <c r="O5" s="18" t="s">
        <v>11</v>
      </c>
      <c r="P5" s="35"/>
      <c r="Q5" s="37"/>
      <c r="R5" s="40"/>
      <c r="S5" s="39"/>
    </row>
    <row r="6" spans="1:28" s="1" customFormat="1" ht="13.5" customHeight="1" thickBot="1">
      <c r="B6" s="25" t="s">
        <v>1</v>
      </c>
      <c r="C6" s="26"/>
      <c r="D6" s="27" t="s">
        <v>6</v>
      </c>
      <c r="E6" s="28"/>
      <c r="F6" s="25" t="s">
        <v>8</v>
      </c>
      <c r="G6" s="29" t="s">
        <v>10</v>
      </c>
      <c r="H6" s="30"/>
      <c r="I6" s="30"/>
      <c r="J6" s="30"/>
      <c r="K6" s="29" t="s">
        <v>13</v>
      </c>
      <c r="L6" s="30"/>
      <c r="M6" s="30"/>
      <c r="N6" s="280"/>
      <c r="O6" s="31" t="s">
        <v>12</v>
      </c>
      <c r="P6" s="35"/>
      <c r="Q6" s="41"/>
      <c r="R6" s="42"/>
      <c r="S6" s="43"/>
      <c r="T6" s="175"/>
      <c r="U6" s="175"/>
      <c r="V6" s="148" t="s">
        <v>118</v>
      </c>
      <c r="W6" s="148" t="s">
        <v>119</v>
      </c>
      <c r="X6" s="148" t="s">
        <v>147</v>
      </c>
      <c r="Y6" s="148" t="s">
        <v>64</v>
      </c>
      <c r="Z6" s="148" t="s">
        <v>144</v>
      </c>
      <c r="AA6" s="148" t="s">
        <v>146</v>
      </c>
      <c r="AB6" s="148" t="s">
        <v>145</v>
      </c>
    </row>
    <row r="7" spans="1:28" ht="13.5" customHeight="1" thickTop="1">
      <c r="A7" s="133">
        <v>2</v>
      </c>
      <c r="B7" s="99" t="s">
        <v>349</v>
      </c>
      <c r="C7" s="67"/>
      <c r="D7" s="85"/>
      <c r="E7" s="85"/>
      <c r="F7" s="290" t="s">
        <v>112</v>
      </c>
      <c r="G7" s="100"/>
      <c r="H7" s="101"/>
      <c r="I7" s="102">
        <f>IF(AND(B8&lt;&gt;"",B8&lt;&gt;"-"),U7,"- ")</f>
        <v>0</v>
      </c>
      <c r="J7" s="103" t="s">
        <v>120</v>
      </c>
      <c r="K7" s="281"/>
      <c r="L7" s="282"/>
      <c r="M7" s="283"/>
      <c r="N7" s="104"/>
      <c r="O7" s="105"/>
      <c r="P7" s="11"/>
      <c r="T7" s="174" t="str">
        <f>ug_TIME(ROW(),C8,E8)</f>
        <v>00000000000000000</v>
      </c>
      <c r="U7" s="176">
        <f>VALUE(MID(T7,1,3))/10</f>
        <v>0</v>
      </c>
    </row>
    <row r="8" spans="1:28" ht="13.5" customHeight="1">
      <c r="B8" s="106">
        <v>42359</v>
      </c>
      <c r="C8" s="181"/>
      <c r="D8" s="107" t="s">
        <v>95</v>
      </c>
      <c r="E8" s="182"/>
      <c r="F8" s="291"/>
      <c r="G8" s="108"/>
      <c r="H8" s="102"/>
      <c r="I8" s="102" t="str">
        <f>IF(AND(B8&lt;&gt;"",B8&lt;&gt;"-",U8&gt;0),U8,"- ")</f>
        <v xml:space="preserve">- </v>
      </c>
      <c r="J8" s="103" t="s">
        <v>120</v>
      </c>
      <c r="K8" s="284"/>
      <c r="L8" s="285"/>
      <c r="M8" s="286"/>
      <c r="N8" s="109">
        <f>X8+AB8</f>
        <v>0</v>
      </c>
      <c r="O8" s="110"/>
      <c r="P8" s="11"/>
      <c r="U8" s="176">
        <f>VALUE(MID(T7,4,3))/10</f>
        <v>0</v>
      </c>
      <c r="V8" s="174" t="str">
        <f>(TEXT(MID(T7,10,2),"0")&amp;":"&amp;TEXT(MID(T7,12,2),"00") )</f>
        <v>0:00</v>
      </c>
      <c r="W8" s="174" t="str">
        <f>(TEXT(MID(T7,14,2),"0")&amp;":"&amp;TEXT(MID(T7,16,2),"00") )</f>
        <v>0:00</v>
      </c>
      <c r="X8" s="174">
        <f>IF(OR(A7=1,A7=7,A7=9),0,U8)</f>
        <v>0</v>
      </c>
      <c r="Y8" s="174">
        <f>IF(OR(A7=1,A7=7,A7=9),U7,0)</f>
        <v>0</v>
      </c>
      <c r="Z8" s="174">
        <f>IF(Y8&lt;8,IF(AA5&lt;&gt;0,Y8,Z5+Y8),IF(AA5&lt;&gt;0,0,Z5))</f>
        <v>0</v>
      </c>
      <c r="AA8" s="174">
        <f>IF(Y8&lt;8,ROUNDDOWN(Z8/8,0),ROUNDDOWN(Y8/8,0))</f>
        <v>0</v>
      </c>
      <c r="AB8" s="174">
        <f>IF(Y8&lt;8,IF(AA8&gt;0,Z8-8*AA8,0),Y8-8)</f>
        <v>0</v>
      </c>
    </row>
    <row r="9" spans="1:28" ht="13.5" customHeight="1">
      <c r="B9" s="69" t="s">
        <v>99</v>
      </c>
      <c r="C9" s="274" t="s">
        <v>111</v>
      </c>
      <c r="D9" s="275"/>
      <c r="E9" s="276"/>
      <c r="F9" s="292"/>
      <c r="G9" s="111" t="str">
        <f>IF(AND(B8&lt;&gt;"",B8&lt;&gt;"-",U9&gt;0),"(","")</f>
        <v/>
      </c>
      <c r="H9" s="112" t="str">
        <f>IF(AND(B8&lt;&gt;"",B8&lt;&gt;"-",U9&gt;0),"うち深夜","")</f>
        <v/>
      </c>
      <c r="I9" s="113" t="str">
        <f>IF(AND(B8&lt;&gt;"",B8&lt;&gt;"-",U9&gt;0),U9,"")</f>
        <v/>
      </c>
      <c r="J9" s="114" t="str">
        <f>IF(AND(B8&lt;&gt;"",B8&lt;&gt;"-",U9&gt;0),"H)","")</f>
        <v/>
      </c>
      <c r="K9" s="287"/>
      <c r="L9" s="288"/>
      <c r="M9" s="289"/>
      <c r="N9" s="177" t="str">
        <f>IF(AA8&lt;&gt;0,"振("&amp;TEXT(AB8,"0.0")&amp;"H)",IF(Y8&lt;&gt;0,"休保留",""))</f>
        <v/>
      </c>
      <c r="O9" s="115"/>
      <c r="P9" s="11"/>
      <c r="U9" s="176">
        <f>VALUE(MID(T7,7,3))/10</f>
        <v>0</v>
      </c>
    </row>
    <row r="10" spans="1:28" ht="13.5" customHeight="1">
      <c r="A10" s="133">
        <v>3</v>
      </c>
      <c r="B10" s="99"/>
      <c r="C10" s="271"/>
      <c r="D10" s="116"/>
      <c r="E10" s="117"/>
      <c r="F10" s="290" t="str">
        <f>F7</f>
        <v xml:space="preserve">  本　ユ
  出　教</v>
      </c>
      <c r="G10" s="100"/>
      <c r="H10" s="101"/>
      <c r="I10" s="102">
        <f>IF(AND(B11&lt;&gt;"",B11&lt;&gt;"-"),U10,"- ")</f>
        <v>0</v>
      </c>
      <c r="J10" s="103" t="s">
        <v>120</v>
      </c>
      <c r="K10" s="281"/>
      <c r="L10" s="282"/>
      <c r="M10" s="283"/>
      <c r="N10" s="104"/>
      <c r="O10" s="105"/>
      <c r="P10" s="11"/>
      <c r="T10" s="174" t="str">
        <f>ug_TIME(ROW(),C11,E11)</f>
        <v>00000000000000000</v>
      </c>
      <c r="U10" s="176">
        <f>VALUE(MID(T10,1,3))/10</f>
        <v>0</v>
      </c>
    </row>
    <row r="11" spans="1:28" ht="13.5" customHeight="1">
      <c r="B11" s="106">
        <v>42360</v>
      </c>
      <c r="C11" s="181"/>
      <c r="D11" s="107" t="s">
        <v>121</v>
      </c>
      <c r="E11" s="182"/>
      <c r="F11" s="291"/>
      <c r="G11" s="108"/>
      <c r="H11" s="102"/>
      <c r="I11" s="102" t="str">
        <f>IF(AND(B11&lt;&gt;"",B11&lt;&gt;"-",U11&gt;0),U11,"- ")</f>
        <v xml:space="preserve">- </v>
      </c>
      <c r="J11" s="103" t="s">
        <v>120</v>
      </c>
      <c r="K11" s="284"/>
      <c r="L11" s="285"/>
      <c r="M11" s="286"/>
      <c r="N11" s="109">
        <f>N8+X11+AB11</f>
        <v>0</v>
      </c>
      <c r="O11" s="110"/>
      <c r="P11" s="11"/>
      <c r="U11" s="176">
        <f>VALUE(MID(T10,4,3))/10</f>
        <v>0</v>
      </c>
      <c r="V11" s="174" t="str">
        <f>(TEXT(MID(T10,10,2),"0")&amp;":"&amp;TEXT(MID(T10,12,2),"00") )</f>
        <v>0:00</v>
      </c>
      <c r="W11" s="174" t="str">
        <f>(TEXT(MID(T10,14,2),"0")&amp;":"&amp;TEXT(MID(T10,16,2),"00") )</f>
        <v>0:00</v>
      </c>
      <c r="X11" s="174">
        <f>IF(OR(A10=1,A10=7,A10=9),0,U11)</f>
        <v>0</v>
      </c>
      <c r="Y11" s="174">
        <f>IF(OR(A10=1,A10=7,A10=9),U10,0)</f>
        <v>0</v>
      </c>
      <c r="Z11" s="174">
        <f>IF(Y11&lt;8,IF(AA8&lt;&gt;0,Y11,Z8+Y11),IF(AA8&lt;&gt;0,0,Z8))</f>
        <v>0</v>
      </c>
      <c r="AA11" s="174">
        <f>IF(Y11&lt;8,ROUNDDOWN(Z11/8,0),ROUNDDOWN(Y11/8,0))</f>
        <v>0</v>
      </c>
      <c r="AB11" s="174">
        <f>IF(Y11&lt;8,IF(AA11&gt;0,Z11-8*AA11,0),Y11-8)</f>
        <v>0</v>
      </c>
    </row>
    <row r="12" spans="1:28" ht="13.5" customHeight="1">
      <c r="B12" s="69" t="s">
        <v>100</v>
      </c>
      <c r="C12" s="274" t="str">
        <f>C9</f>
        <v>　シ　遅　早　代　休</v>
      </c>
      <c r="D12" s="275"/>
      <c r="E12" s="276"/>
      <c r="F12" s="292"/>
      <c r="G12" s="111" t="str">
        <f>IF(AND(B11&lt;&gt;"",B11&lt;&gt;"-",U12&gt;0),"(","")</f>
        <v/>
      </c>
      <c r="H12" s="112" t="str">
        <f>IF(AND(B11&lt;&gt;"",B11&lt;&gt;"-",U12&gt;0),"うち深夜","")</f>
        <v/>
      </c>
      <c r="I12" s="113" t="str">
        <f>IF(AND(B11&lt;&gt;"",B11&lt;&gt;"-",U12&gt;0),U12,"")</f>
        <v/>
      </c>
      <c r="J12" s="114" t="str">
        <f>IF(AND(B11&lt;&gt;"",B11&lt;&gt;"-",U12&gt;0),"H)","")</f>
        <v/>
      </c>
      <c r="K12" s="287"/>
      <c r="L12" s="288"/>
      <c r="M12" s="289"/>
      <c r="N12" s="177" t="str">
        <f>IF(AA11&lt;&gt;0,"振("&amp;TEXT(AB11,"0.0")&amp;"H)",IF(Y11&lt;&gt;0,"休保留",""))</f>
        <v/>
      </c>
      <c r="O12" s="115"/>
      <c r="P12" s="11"/>
      <c r="U12" s="176">
        <f>VALUE(MID(T10,7,3))/10</f>
        <v>0</v>
      </c>
    </row>
    <row r="13" spans="1:28" ht="13.5" customHeight="1">
      <c r="A13" s="133">
        <v>9</v>
      </c>
      <c r="B13" s="99"/>
      <c r="C13" s="272" t="s">
        <v>350</v>
      </c>
      <c r="D13" s="85"/>
      <c r="E13" s="85"/>
      <c r="F13" s="290" t="str">
        <f>F10</f>
        <v xml:space="preserve">  本　ユ
  出　教</v>
      </c>
      <c r="G13" s="100"/>
      <c r="H13" s="101"/>
      <c r="I13" s="102">
        <f>IF(AND(B14&lt;&gt;"",B14&lt;&gt;"-"),U13,"- ")</f>
        <v>0</v>
      </c>
      <c r="J13" s="103" t="s">
        <v>120</v>
      </c>
      <c r="K13" s="281"/>
      <c r="L13" s="282"/>
      <c r="M13" s="283"/>
      <c r="N13" s="104"/>
      <c r="O13" s="105"/>
      <c r="P13" s="11"/>
      <c r="T13" s="174" t="str">
        <f>ug_TIME(ROW(),C14,E14)</f>
        <v>00000000000000000</v>
      </c>
      <c r="U13" s="176">
        <f>VALUE(MID(T13,1,3))/10</f>
        <v>0</v>
      </c>
    </row>
    <row r="14" spans="1:28" ht="13.5" customHeight="1">
      <c r="B14" s="106">
        <v>42361</v>
      </c>
      <c r="C14" s="181"/>
      <c r="D14" s="107" t="s">
        <v>121</v>
      </c>
      <c r="E14" s="182"/>
      <c r="F14" s="291"/>
      <c r="G14" s="108"/>
      <c r="H14" s="102"/>
      <c r="I14" s="102" t="str">
        <f>IF(AND(B14&lt;&gt;"",B14&lt;&gt;"-",U14&gt;0),U14,"- ")</f>
        <v xml:space="preserve">- </v>
      </c>
      <c r="J14" s="103" t="s">
        <v>120</v>
      </c>
      <c r="K14" s="284"/>
      <c r="L14" s="285"/>
      <c r="M14" s="286"/>
      <c r="N14" s="109">
        <f>N11+X14+AB14</f>
        <v>0</v>
      </c>
      <c r="O14" s="110"/>
      <c r="P14" s="11"/>
      <c r="U14" s="176">
        <f>VALUE(MID(T13,4,3))/10</f>
        <v>0</v>
      </c>
      <c r="V14" s="174" t="str">
        <f>(TEXT(MID(T13,10,2),"0")&amp;":"&amp;TEXT(MID(T13,12,2),"00") )</f>
        <v>0:00</v>
      </c>
      <c r="W14" s="174" t="str">
        <f>(TEXT(MID(T13,14,2),"0")&amp;":"&amp;TEXT(MID(T13,16,2),"00") )</f>
        <v>0:00</v>
      </c>
      <c r="X14" s="174">
        <f>IF(OR(A13=1,A13=7,A13=9),0,U14)</f>
        <v>0</v>
      </c>
      <c r="Y14" s="174">
        <f>IF(OR(A13=1,A13=7,A13=9),U13,0)</f>
        <v>0</v>
      </c>
      <c r="Z14" s="174">
        <f>IF(Y14&lt;8,IF(AA11&lt;&gt;0,Y14,Z11+Y14),IF(AA11&lt;&gt;0,0,Z11))</f>
        <v>0</v>
      </c>
      <c r="AA14" s="174">
        <f>IF(Y14&lt;8,ROUNDDOWN(Z14/8,0),ROUNDDOWN(Y14/8,0))</f>
        <v>0</v>
      </c>
      <c r="AB14" s="174">
        <f>IF(Y14&lt;8,IF(AA14&gt;0,Z14-8*AA14,0),Y14-8)</f>
        <v>0</v>
      </c>
    </row>
    <row r="15" spans="1:28" ht="13.5" customHeight="1">
      <c r="B15" s="73" t="s">
        <v>101</v>
      </c>
      <c r="C15" s="274" t="str">
        <f>C12</f>
        <v>　シ　遅　早　代　休</v>
      </c>
      <c r="D15" s="275"/>
      <c r="E15" s="276"/>
      <c r="F15" s="292"/>
      <c r="G15" s="111" t="str">
        <f>IF(AND(B14&lt;&gt;"",B14&lt;&gt;"-",U15&gt;0),"(","")</f>
        <v/>
      </c>
      <c r="H15" s="112" t="str">
        <f>IF(AND(B14&lt;&gt;"",B14&lt;&gt;"-",U15&gt;0),"うち深夜","")</f>
        <v/>
      </c>
      <c r="I15" s="113" t="str">
        <f>IF(AND(B14&lt;&gt;"",B14&lt;&gt;"-",U15&gt;0),U15,"")</f>
        <v/>
      </c>
      <c r="J15" s="114" t="str">
        <f>IF(AND(B14&lt;&gt;"",B14&lt;&gt;"-",U15&gt;0),"H)","")</f>
        <v/>
      </c>
      <c r="K15" s="287"/>
      <c r="L15" s="288"/>
      <c r="M15" s="289"/>
      <c r="N15" s="177" t="str">
        <f>IF(AA14&lt;&gt;0,"振("&amp;TEXT(AB14,"0.0")&amp;"H)",IF(Y14&lt;&gt;0,"休保留",""))</f>
        <v/>
      </c>
      <c r="O15" s="115"/>
      <c r="P15" s="11"/>
      <c r="U15" s="176">
        <f>VALUE(MID(T13,7,3))/10</f>
        <v>0</v>
      </c>
    </row>
    <row r="16" spans="1:28" ht="13.5" customHeight="1">
      <c r="A16" s="133">
        <v>5</v>
      </c>
      <c r="B16" s="99"/>
      <c r="C16" s="67"/>
      <c r="D16" s="85"/>
      <c r="E16" s="85"/>
      <c r="F16" s="290" t="str">
        <f>F13</f>
        <v xml:space="preserve">  本　ユ
  出　教</v>
      </c>
      <c r="G16" s="100"/>
      <c r="H16" s="101"/>
      <c r="I16" s="102">
        <f>IF(AND(B17&lt;&gt;"",B17&lt;&gt;"-"),U16,"- ")</f>
        <v>0</v>
      </c>
      <c r="J16" s="103" t="s">
        <v>120</v>
      </c>
      <c r="K16" s="298"/>
      <c r="L16" s="282"/>
      <c r="M16" s="283"/>
      <c r="N16" s="104"/>
      <c r="O16" s="105"/>
      <c r="P16" s="11"/>
      <c r="T16" s="174" t="str">
        <f>ug_TIME(ROW(),C17,E17)</f>
        <v>00000000000000000</v>
      </c>
      <c r="U16" s="176">
        <f>VALUE(MID(T16,1,3))/10</f>
        <v>0</v>
      </c>
    </row>
    <row r="17" spans="1:28" ht="13.5" customHeight="1">
      <c r="B17" s="106">
        <v>42362</v>
      </c>
      <c r="C17" s="181"/>
      <c r="D17" s="107" t="s">
        <v>121</v>
      </c>
      <c r="E17" s="182"/>
      <c r="F17" s="291"/>
      <c r="G17" s="108"/>
      <c r="H17" s="102"/>
      <c r="I17" s="102" t="str">
        <f>IF(AND(B17&lt;&gt;"",B17&lt;&gt;"-",U17&gt;0),U17,"- ")</f>
        <v xml:space="preserve">- </v>
      </c>
      <c r="J17" s="103" t="s">
        <v>120</v>
      </c>
      <c r="K17" s="284"/>
      <c r="L17" s="285"/>
      <c r="M17" s="286"/>
      <c r="N17" s="109">
        <f>N14+X17+AB17</f>
        <v>0</v>
      </c>
      <c r="O17" s="110"/>
      <c r="P17" s="11"/>
      <c r="U17" s="176">
        <f>VALUE(MID(T16,4,3))/10</f>
        <v>0</v>
      </c>
      <c r="V17" s="174" t="str">
        <f>(TEXT(MID(T16,10,2),"0")&amp;":"&amp;TEXT(MID(T16,12,2),"00") )</f>
        <v>0:00</v>
      </c>
      <c r="W17" s="174" t="str">
        <f>(TEXT(MID(T16,14,2),"0")&amp;":"&amp;TEXT(MID(T16,16,2),"00") )</f>
        <v>0:00</v>
      </c>
      <c r="X17" s="174">
        <f>IF(OR(A16=1,A16=7,A16=9),0,U17)</f>
        <v>0</v>
      </c>
      <c r="Y17" s="174">
        <f>IF(OR(A16=1,A16=7,A16=9),U16,0)</f>
        <v>0</v>
      </c>
      <c r="Z17" s="174">
        <f>IF(Y17&lt;8,IF(AA14&lt;&gt;0,Y17,Z14+Y17),IF(AA14&lt;&gt;0,0,Z14))</f>
        <v>0</v>
      </c>
      <c r="AA17" s="174">
        <f>IF(Y17&lt;8,ROUNDDOWN(Z17/8,0),ROUNDDOWN(Y17/8,0))</f>
        <v>0</v>
      </c>
      <c r="AB17" s="174">
        <f>IF(Y17&lt;8,IF(AA17&gt;0,Z17-8*AA17,0),Y17-8)</f>
        <v>0</v>
      </c>
    </row>
    <row r="18" spans="1:28" ht="13.5" customHeight="1">
      <c r="B18" s="69" t="s">
        <v>102</v>
      </c>
      <c r="C18" s="274" t="str">
        <f>C15</f>
        <v>　シ　遅　早　代　休</v>
      </c>
      <c r="D18" s="275"/>
      <c r="E18" s="276"/>
      <c r="F18" s="292"/>
      <c r="G18" s="111" t="str">
        <f>IF(AND(B17&lt;&gt;"",B17&lt;&gt;"-",U18&gt;0),"(","")</f>
        <v/>
      </c>
      <c r="H18" s="112" t="str">
        <f>IF(AND(B17&lt;&gt;"",B17&lt;&gt;"-",U18&gt;0),"うち深夜","")</f>
        <v/>
      </c>
      <c r="I18" s="113" t="str">
        <f>IF(AND(B17&lt;&gt;"",B17&lt;&gt;"-",U18&gt;0),U18,"")</f>
        <v/>
      </c>
      <c r="J18" s="114" t="str">
        <f>IF(AND(B17&lt;&gt;"",B17&lt;&gt;"-",U18&gt;0),"H)","")</f>
        <v/>
      </c>
      <c r="K18" s="287"/>
      <c r="L18" s="288"/>
      <c r="M18" s="289"/>
      <c r="N18" s="177" t="str">
        <f>IF(AA17&lt;&gt;0,"振("&amp;TEXT(AB17,"0.0")&amp;"H)",IF(Y17&lt;&gt;0,"休保留",""))</f>
        <v/>
      </c>
      <c r="O18" s="115"/>
      <c r="P18" s="11"/>
      <c r="U18" s="176">
        <f>VALUE(MID(T16,7,3))/10</f>
        <v>0</v>
      </c>
    </row>
    <row r="19" spans="1:28" ht="13.5" customHeight="1">
      <c r="A19" s="133">
        <v>6</v>
      </c>
      <c r="B19" s="99"/>
      <c r="C19" s="67"/>
      <c r="D19" s="85"/>
      <c r="E19" s="85"/>
      <c r="F19" s="290" t="str">
        <f>F16</f>
        <v xml:space="preserve">  本　ユ
  出　教</v>
      </c>
      <c r="G19" s="100"/>
      <c r="H19" s="101"/>
      <c r="I19" s="102">
        <f>IF(AND(B20&lt;&gt;"",B20&lt;&gt;"-"),U19,"- ")</f>
        <v>0</v>
      </c>
      <c r="J19" s="103" t="s">
        <v>120</v>
      </c>
      <c r="K19" s="298"/>
      <c r="L19" s="282"/>
      <c r="M19" s="283"/>
      <c r="N19" s="104"/>
      <c r="O19" s="105"/>
      <c r="P19" s="11"/>
      <c r="T19" s="174" t="str">
        <f>ug_TIME(ROW(),C20,E20)</f>
        <v>00000000000000000</v>
      </c>
      <c r="U19" s="176">
        <f>VALUE(MID(T19,1,3))/10</f>
        <v>0</v>
      </c>
    </row>
    <row r="20" spans="1:28" ht="13.5" customHeight="1">
      <c r="B20" s="106">
        <v>42363</v>
      </c>
      <c r="C20" s="181"/>
      <c r="D20" s="107" t="s">
        <v>121</v>
      </c>
      <c r="E20" s="182"/>
      <c r="F20" s="291"/>
      <c r="G20" s="108"/>
      <c r="H20" s="102"/>
      <c r="I20" s="102" t="str">
        <f>IF(AND(B20&lt;&gt;"",B20&lt;&gt;"-",U20&gt;0),U20,"- ")</f>
        <v xml:space="preserve">- </v>
      </c>
      <c r="J20" s="103" t="s">
        <v>120</v>
      </c>
      <c r="K20" s="284"/>
      <c r="L20" s="285"/>
      <c r="M20" s="286"/>
      <c r="N20" s="109">
        <f>N17+X20+AB20</f>
        <v>0</v>
      </c>
      <c r="O20" s="110"/>
      <c r="P20" s="11"/>
      <c r="U20" s="176">
        <f>VALUE(MID(T19,4,3))/10</f>
        <v>0</v>
      </c>
      <c r="V20" s="174" t="str">
        <f>(TEXT(MID(T19,10,2),"0")&amp;":"&amp;TEXT(MID(T19,12,2),"00") )</f>
        <v>0:00</v>
      </c>
      <c r="W20" s="174" t="str">
        <f>(TEXT(MID(T19,14,2),"0")&amp;":"&amp;TEXT(MID(T19,16,2),"00") )</f>
        <v>0:00</v>
      </c>
      <c r="X20" s="174">
        <f>IF(OR(A19=1,A19=7,A19=9),0,U20)</f>
        <v>0</v>
      </c>
      <c r="Y20" s="174">
        <f>IF(OR(A19=1,A19=7,A19=9),U19,0)</f>
        <v>0</v>
      </c>
      <c r="Z20" s="174">
        <f>IF(Y20&lt;8,IF(AA17&lt;&gt;0,Y20,Z17+Y20),IF(AA17&lt;&gt;0,0,Z17))</f>
        <v>0</v>
      </c>
      <c r="AA20" s="174">
        <f>IF(Y20&lt;8,ROUNDDOWN(Z20/8,0),ROUNDDOWN(Y20/8,0))</f>
        <v>0</v>
      </c>
      <c r="AB20" s="174">
        <f>IF(Y20&lt;8,IF(AA20&gt;0,Z20-8*AA20,0),Y20-8)</f>
        <v>0</v>
      </c>
    </row>
    <row r="21" spans="1:28" ht="13.5" customHeight="1">
      <c r="B21" s="69" t="s">
        <v>103</v>
      </c>
      <c r="C21" s="274" t="str">
        <f>C18</f>
        <v>　シ　遅　早　代　休</v>
      </c>
      <c r="D21" s="275"/>
      <c r="E21" s="276"/>
      <c r="F21" s="292"/>
      <c r="G21" s="111" t="str">
        <f>IF(AND(B20&lt;&gt;"",B20&lt;&gt;"-",U21&gt;0),"(","")</f>
        <v/>
      </c>
      <c r="H21" s="112" t="str">
        <f>IF(AND(B20&lt;&gt;"",B20&lt;&gt;"-",U21&gt;0),"うち深夜","")</f>
        <v/>
      </c>
      <c r="I21" s="113" t="str">
        <f>IF(AND(B20&lt;&gt;"",B20&lt;&gt;"-",U21&gt;0),U21,"")</f>
        <v/>
      </c>
      <c r="J21" s="114" t="str">
        <f>IF(AND(B20&lt;&gt;"",B20&lt;&gt;"-",U21&gt;0),"H)","")</f>
        <v/>
      </c>
      <c r="K21" s="287"/>
      <c r="L21" s="288"/>
      <c r="M21" s="289"/>
      <c r="N21" s="177" t="str">
        <f>IF(AA20&lt;&gt;0,"振("&amp;TEXT(AB20,"0.0")&amp;"H)",IF(Y20&lt;&gt;0,"休保留",""))</f>
        <v/>
      </c>
      <c r="O21" s="115"/>
      <c r="P21" s="11"/>
      <c r="U21" s="176">
        <f>VALUE(MID(T19,7,3))/10</f>
        <v>0</v>
      </c>
    </row>
    <row r="22" spans="1:28" ht="13.5" customHeight="1">
      <c r="A22" s="133">
        <v>7</v>
      </c>
      <c r="B22" s="99"/>
      <c r="C22" s="67"/>
      <c r="D22" s="85"/>
      <c r="E22" s="85"/>
      <c r="F22" s="290" t="str">
        <f>F19</f>
        <v xml:space="preserve">  本　ユ
  出　教</v>
      </c>
      <c r="G22" s="100"/>
      <c r="H22" s="101"/>
      <c r="I22" s="102">
        <f>IF(AND(B23&lt;&gt;"",B23&lt;&gt;"-"),U22,"- ")</f>
        <v>0</v>
      </c>
      <c r="J22" s="103" t="s">
        <v>120</v>
      </c>
      <c r="K22" s="281"/>
      <c r="L22" s="282"/>
      <c r="M22" s="283"/>
      <c r="N22" s="104"/>
      <c r="O22" s="105"/>
      <c r="P22" s="11"/>
      <c r="T22" s="174" t="str">
        <f>ug_TIME(ROW(),C23,E23)</f>
        <v>00000000000000000</v>
      </c>
      <c r="U22" s="176">
        <f>VALUE(MID(T22,1,3))/10</f>
        <v>0</v>
      </c>
    </row>
    <row r="23" spans="1:28" ht="13.5" customHeight="1">
      <c r="B23" s="106">
        <v>42364</v>
      </c>
      <c r="C23" s="181"/>
      <c r="D23" s="107" t="s">
        <v>121</v>
      </c>
      <c r="E23" s="182"/>
      <c r="F23" s="291"/>
      <c r="G23" s="108"/>
      <c r="H23" s="102"/>
      <c r="I23" s="102" t="str">
        <f>IF(AND(B23&lt;&gt;"",B23&lt;&gt;"-",U23&gt;0),U23,"- ")</f>
        <v xml:space="preserve">- </v>
      </c>
      <c r="J23" s="103" t="s">
        <v>120</v>
      </c>
      <c r="K23" s="284"/>
      <c r="L23" s="285"/>
      <c r="M23" s="286"/>
      <c r="N23" s="109">
        <f>N20+X23+AB23</f>
        <v>0</v>
      </c>
      <c r="O23" s="110"/>
      <c r="P23" s="11"/>
      <c r="U23" s="176">
        <f>VALUE(MID(T22,4,3))/10</f>
        <v>0</v>
      </c>
      <c r="V23" s="174" t="str">
        <f>(TEXT(MID(T22,10,2),"0")&amp;":"&amp;TEXT(MID(T22,12,2),"00") )</f>
        <v>0:00</v>
      </c>
      <c r="W23" s="174" t="str">
        <f>(TEXT(MID(T22,14,2),"0")&amp;":"&amp;TEXT(MID(T22,16,2),"00") )</f>
        <v>0:00</v>
      </c>
      <c r="X23" s="174">
        <f>IF(OR(A22=1,A22=7,A22=9),0,U23)</f>
        <v>0</v>
      </c>
      <c r="Y23" s="174">
        <f>IF(OR(A22=1,A22=7,A22=9),U22,0)</f>
        <v>0</v>
      </c>
      <c r="Z23" s="174">
        <f>IF(Y23&lt;8,IF(AA20&lt;&gt;0,Y23,Z20+Y23),IF(AA20&lt;&gt;0,0,Z20))</f>
        <v>0</v>
      </c>
      <c r="AA23" s="174">
        <f>IF(Y23&lt;8,ROUNDDOWN(Z23/8,0),ROUNDDOWN(Y23/8,0))</f>
        <v>0</v>
      </c>
      <c r="AB23" s="174">
        <f>IF(Y23&lt;8,IF(AA23&gt;0,Z23-8*AA23,0),Y23-8)</f>
        <v>0</v>
      </c>
    </row>
    <row r="24" spans="1:28" ht="13.5" customHeight="1">
      <c r="B24" s="71" t="s">
        <v>97</v>
      </c>
      <c r="C24" s="274" t="str">
        <f>C21</f>
        <v>　シ　遅　早　代　休</v>
      </c>
      <c r="D24" s="275"/>
      <c r="E24" s="276"/>
      <c r="F24" s="292"/>
      <c r="G24" s="111" t="str">
        <f>IF(AND(B23&lt;&gt;"",B23&lt;&gt;"-",U24&gt;0),"(","")</f>
        <v/>
      </c>
      <c r="H24" s="112" t="str">
        <f>IF(AND(B23&lt;&gt;"",B23&lt;&gt;"-",U24&gt;0),"うち深夜","")</f>
        <v/>
      </c>
      <c r="I24" s="113" t="str">
        <f>IF(AND(B23&lt;&gt;"",B23&lt;&gt;"-",U24&gt;0),U24,"")</f>
        <v/>
      </c>
      <c r="J24" s="114" t="str">
        <f>IF(AND(B23&lt;&gt;"",B23&lt;&gt;"-",U24&gt;0),"H)","")</f>
        <v/>
      </c>
      <c r="K24" s="287"/>
      <c r="L24" s="288"/>
      <c r="M24" s="289"/>
      <c r="N24" s="177" t="str">
        <f>IF(AA23&lt;&gt;0,"振("&amp;TEXT(AB23,"0.0")&amp;"H)",IF(Y23&lt;&gt;0,"休保留",""))</f>
        <v/>
      </c>
      <c r="O24" s="115"/>
      <c r="P24" s="11"/>
      <c r="U24" s="176">
        <f>VALUE(MID(T22,7,3))/10</f>
        <v>0</v>
      </c>
    </row>
    <row r="25" spans="1:28" ht="13.5" customHeight="1">
      <c r="A25" s="133">
        <v>1</v>
      </c>
      <c r="B25" s="99"/>
      <c r="C25" s="67"/>
      <c r="D25" s="85"/>
      <c r="E25" s="85"/>
      <c r="F25" s="290" t="str">
        <f>F22</f>
        <v xml:space="preserve">  本　ユ
  出　教</v>
      </c>
      <c r="G25" s="100"/>
      <c r="H25" s="101"/>
      <c r="I25" s="102">
        <f>IF(AND(B26&lt;&gt;"",B26&lt;&gt;"-"),U25,"- ")</f>
        <v>0</v>
      </c>
      <c r="J25" s="103" t="s">
        <v>120</v>
      </c>
      <c r="K25" s="281"/>
      <c r="L25" s="282"/>
      <c r="M25" s="283"/>
      <c r="N25" s="104"/>
      <c r="O25" s="105"/>
      <c r="P25" s="11"/>
      <c r="T25" s="174" t="str">
        <f>ug_TIME(ROW(),C26,E26)</f>
        <v>00000000000000000</v>
      </c>
      <c r="U25" s="176">
        <f>VALUE(MID(T25,1,3))/10</f>
        <v>0</v>
      </c>
    </row>
    <row r="26" spans="1:28" ht="13.5" customHeight="1">
      <c r="B26" s="106">
        <v>42365</v>
      </c>
      <c r="C26" s="181"/>
      <c r="D26" s="107" t="s">
        <v>121</v>
      </c>
      <c r="E26" s="182"/>
      <c r="F26" s="291"/>
      <c r="G26" s="108"/>
      <c r="H26" s="102"/>
      <c r="I26" s="102" t="str">
        <f>IF(AND(B26&lt;&gt;"",B26&lt;&gt;"-",U26&gt;0),U26,"- ")</f>
        <v xml:space="preserve">- </v>
      </c>
      <c r="J26" s="103" t="s">
        <v>120</v>
      </c>
      <c r="K26" s="284"/>
      <c r="L26" s="285"/>
      <c r="M26" s="286"/>
      <c r="N26" s="109">
        <f>N23+X26+AB26</f>
        <v>0</v>
      </c>
      <c r="O26" s="110"/>
      <c r="P26" s="11"/>
      <c r="U26" s="176">
        <f>VALUE(MID(T25,4,3))/10</f>
        <v>0</v>
      </c>
      <c r="V26" s="174" t="str">
        <f>(TEXT(MID(T25,10,2),"0")&amp;":"&amp;TEXT(MID(T25,12,2),"00") )</f>
        <v>0:00</v>
      </c>
      <c r="W26" s="174" t="str">
        <f>(TEXT(MID(T25,14,2),"0")&amp;":"&amp;TEXT(MID(T25,16,2),"00") )</f>
        <v>0:00</v>
      </c>
      <c r="X26" s="174">
        <f>IF(OR(A25=1,A25=7,A25=9),0,U26)</f>
        <v>0</v>
      </c>
      <c r="Y26" s="174">
        <f>IF(OR(A25=1,A25=7,A25=9),U25,0)</f>
        <v>0</v>
      </c>
      <c r="Z26" s="174">
        <f>IF(Y26&lt;8,IF(AA23&lt;&gt;0,Y26,Z23+Y26),IF(AA23&lt;&gt;0,0,Z23))</f>
        <v>0</v>
      </c>
      <c r="AA26" s="174">
        <f>IF(Y26&lt;8,ROUNDDOWN(Z26/8,0),ROUNDDOWN(Y26/8,0))</f>
        <v>0</v>
      </c>
      <c r="AB26" s="174">
        <f>IF(Y26&lt;8,IF(AA26&gt;0,Z26-8*AA26,0),Y26-8)</f>
        <v>0</v>
      </c>
    </row>
    <row r="27" spans="1:28" ht="13.5" customHeight="1">
      <c r="B27" s="73" t="s">
        <v>98</v>
      </c>
      <c r="C27" s="274" t="str">
        <f>C24</f>
        <v>　シ　遅　早　代　休</v>
      </c>
      <c r="D27" s="275"/>
      <c r="E27" s="276"/>
      <c r="F27" s="292"/>
      <c r="G27" s="111" t="str">
        <f>IF(AND(B26&lt;&gt;"",B26&lt;&gt;"-",U27&gt;0),"(","")</f>
        <v/>
      </c>
      <c r="H27" s="112" t="str">
        <f>IF(AND(B26&lt;&gt;"",B26&lt;&gt;"-",U27&gt;0),"うち深夜","")</f>
        <v/>
      </c>
      <c r="I27" s="113" t="str">
        <f>IF(AND(B26&lt;&gt;"",B26&lt;&gt;"-",U27&gt;0),U27,"")</f>
        <v/>
      </c>
      <c r="J27" s="114" t="str">
        <f>IF(AND(B26&lt;&gt;"",B26&lt;&gt;"-",U27&gt;0),"H)","")</f>
        <v/>
      </c>
      <c r="K27" s="287"/>
      <c r="L27" s="288"/>
      <c r="M27" s="289"/>
      <c r="N27" s="177" t="str">
        <f>IF(AA26&lt;&gt;0,"振("&amp;TEXT(AB26,"0.0")&amp;"H)",IF(Y26&lt;&gt;0,"休保留",""))</f>
        <v/>
      </c>
      <c r="O27" s="115"/>
      <c r="P27" s="11"/>
      <c r="U27" s="176">
        <f>VALUE(MID(T25,7,3))/10</f>
        <v>0</v>
      </c>
    </row>
    <row r="28" spans="1:28" ht="13.5" customHeight="1">
      <c r="A28" s="133">
        <v>2</v>
      </c>
      <c r="B28" s="99"/>
      <c r="C28" s="67"/>
      <c r="D28" s="85"/>
      <c r="E28" s="85"/>
      <c r="F28" s="290" t="str">
        <f>F25</f>
        <v xml:space="preserve">  本　ユ
  出　教</v>
      </c>
      <c r="G28" s="100"/>
      <c r="H28" s="101"/>
      <c r="I28" s="102">
        <f>IF(AND(B29&lt;&gt;"",B29&lt;&gt;"-"),U28,"- ")</f>
        <v>0</v>
      </c>
      <c r="J28" s="103" t="s">
        <v>120</v>
      </c>
      <c r="K28" s="281"/>
      <c r="L28" s="282"/>
      <c r="M28" s="283"/>
      <c r="N28" s="104"/>
      <c r="O28" s="105"/>
      <c r="P28" s="11"/>
      <c r="T28" s="174" t="str">
        <f>ug_TIME(ROW(),C29,E29)</f>
        <v>00000000000000000</v>
      </c>
      <c r="U28" s="176">
        <f>VALUE(MID(T28,1,3))/10</f>
        <v>0</v>
      </c>
    </row>
    <row r="29" spans="1:28" ht="13.5" customHeight="1">
      <c r="B29" s="106">
        <v>42366</v>
      </c>
      <c r="C29" s="181"/>
      <c r="D29" s="107" t="s">
        <v>121</v>
      </c>
      <c r="E29" s="182"/>
      <c r="F29" s="291"/>
      <c r="G29" s="108"/>
      <c r="H29" s="102"/>
      <c r="I29" s="102" t="str">
        <f>IF(AND(B29&lt;&gt;"",B29&lt;&gt;"-",U29&gt;0),U29,"- ")</f>
        <v xml:space="preserve">- </v>
      </c>
      <c r="J29" s="103" t="s">
        <v>120</v>
      </c>
      <c r="K29" s="284"/>
      <c r="L29" s="285"/>
      <c r="M29" s="286"/>
      <c r="N29" s="109">
        <f>N26+X29+AB29</f>
        <v>0</v>
      </c>
      <c r="O29" s="110"/>
      <c r="P29" s="11"/>
      <c r="U29" s="176">
        <f>VALUE(MID(T28,4,3))/10</f>
        <v>0</v>
      </c>
      <c r="V29" s="174" t="str">
        <f>(TEXT(MID(T28,10,2),"0")&amp;":"&amp;TEXT(MID(T28,12,2),"00") )</f>
        <v>0:00</v>
      </c>
      <c r="W29" s="174" t="str">
        <f>(TEXT(MID(T28,14,2),"0")&amp;":"&amp;TEXT(MID(T28,16,2),"00") )</f>
        <v>0:00</v>
      </c>
      <c r="X29" s="174">
        <f>IF(OR(A28=1,A28=7,A28=9),0,U29)</f>
        <v>0</v>
      </c>
      <c r="Y29" s="174">
        <f>IF(OR(A28=1,A28=7,A28=9),U28,0)</f>
        <v>0</v>
      </c>
      <c r="Z29" s="174">
        <f>IF(Y29&lt;8,IF(AA26&lt;&gt;0,Y29,Z26+Y29),IF(AA26&lt;&gt;0,0,Z26))</f>
        <v>0</v>
      </c>
      <c r="AA29" s="174">
        <f>IF(Y29&lt;8,ROUNDDOWN(Z29/8,0),ROUNDDOWN(Y29/8,0))</f>
        <v>0</v>
      </c>
      <c r="AB29" s="174">
        <f>IF(Y29&lt;8,IF(AA29&gt;0,Z29-8*AA29,0),Y29-8)</f>
        <v>0</v>
      </c>
    </row>
    <row r="30" spans="1:28" ht="13.5" customHeight="1">
      <c r="B30" s="69" t="s">
        <v>99</v>
      </c>
      <c r="C30" s="274" t="str">
        <f>C27</f>
        <v>　シ　遅　早　代　休</v>
      </c>
      <c r="D30" s="275"/>
      <c r="E30" s="276"/>
      <c r="F30" s="292"/>
      <c r="G30" s="111" t="str">
        <f>IF(AND(B29&lt;&gt;"",B29&lt;&gt;"-",U30&gt;0),"(","")</f>
        <v/>
      </c>
      <c r="H30" s="112" t="str">
        <f>IF(AND(B29&lt;&gt;"",B29&lt;&gt;"-",U30&gt;0),"うち深夜","")</f>
        <v/>
      </c>
      <c r="I30" s="113" t="str">
        <f>IF(AND(B29&lt;&gt;"",B29&lt;&gt;"-",U30&gt;0),U30,"")</f>
        <v/>
      </c>
      <c r="J30" s="114" t="str">
        <f>IF(AND(B29&lt;&gt;"",B29&lt;&gt;"-",U30&gt;0),"H)","")</f>
        <v/>
      </c>
      <c r="K30" s="287"/>
      <c r="L30" s="288"/>
      <c r="M30" s="289"/>
      <c r="N30" s="177" t="str">
        <f>IF(AA29&lt;&gt;0,"振("&amp;TEXT(AB29,"0.0")&amp;"H)",IF(Y29&lt;&gt;0,"休保留",""))</f>
        <v/>
      </c>
      <c r="O30" s="115"/>
      <c r="P30" s="11"/>
      <c r="U30" s="176">
        <f>VALUE(MID(T28,7,3))/10</f>
        <v>0</v>
      </c>
    </row>
    <row r="31" spans="1:28" ht="13.5" customHeight="1">
      <c r="A31" s="133">
        <v>3</v>
      </c>
      <c r="B31" s="99"/>
      <c r="C31" s="67"/>
      <c r="D31" s="85"/>
      <c r="E31" s="85"/>
      <c r="F31" s="290" t="str">
        <f>F28</f>
        <v xml:space="preserve">  本　ユ
  出　教</v>
      </c>
      <c r="G31" s="100"/>
      <c r="H31" s="101"/>
      <c r="I31" s="102">
        <f>IF(AND(B32&lt;&gt;"",B32&lt;&gt;"-"),U31,"- ")</f>
        <v>0</v>
      </c>
      <c r="J31" s="103" t="s">
        <v>120</v>
      </c>
      <c r="K31" s="281"/>
      <c r="L31" s="282"/>
      <c r="M31" s="283"/>
      <c r="N31" s="104"/>
      <c r="O31" s="105"/>
      <c r="P31" s="11"/>
      <c r="T31" s="174" t="str">
        <f>ug_TIME(ROW(),C32,E32)</f>
        <v>00000000000000000</v>
      </c>
      <c r="U31" s="176">
        <f>VALUE(MID(T31,1,3))/10</f>
        <v>0</v>
      </c>
    </row>
    <row r="32" spans="1:28" ht="13.5" customHeight="1">
      <c r="B32" s="106">
        <v>42367</v>
      </c>
      <c r="C32" s="181"/>
      <c r="D32" s="107" t="s">
        <v>121</v>
      </c>
      <c r="E32" s="182"/>
      <c r="F32" s="291"/>
      <c r="G32" s="108"/>
      <c r="H32" s="102"/>
      <c r="I32" s="102" t="str">
        <f>IF(AND(B32&lt;&gt;"",B32&lt;&gt;"-",U32&gt;0),U32,"- ")</f>
        <v xml:space="preserve">- </v>
      </c>
      <c r="J32" s="103" t="s">
        <v>120</v>
      </c>
      <c r="K32" s="284"/>
      <c r="L32" s="285"/>
      <c r="M32" s="286"/>
      <c r="N32" s="109">
        <f>N29+X32+AB32</f>
        <v>0</v>
      </c>
      <c r="O32" s="110"/>
      <c r="P32" s="11"/>
      <c r="U32" s="176">
        <f>VALUE(MID(T31,4,3))/10</f>
        <v>0</v>
      </c>
      <c r="V32" s="174" t="str">
        <f>(TEXT(MID(T31,10,2),"0")&amp;":"&amp;TEXT(MID(T31,12,2),"00") )</f>
        <v>0:00</v>
      </c>
      <c r="W32" s="174" t="str">
        <f>(TEXT(MID(T31,14,2),"0")&amp;":"&amp;TEXT(MID(T31,16,2),"00") )</f>
        <v>0:00</v>
      </c>
      <c r="X32" s="174">
        <f>IF(OR(A31=1,A31=7,A31=9),0,U32)</f>
        <v>0</v>
      </c>
      <c r="Y32" s="174">
        <f>IF(OR(A31=1,A31=7,A31=9),U31,0)</f>
        <v>0</v>
      </c>
      <c r="Z32" s="174">
        <f>IF(Y32&lt;8,IF(AA29&lt;&gt;0,Y32,Z29+Y32),IF(AA29&lt;&gt;0,0,Z29))</f>
        <v>0</v>
      </c>
      <c r="AA32" s="174">
        <f>IF(Y32&lt;8,ROUNDDOWN(Z32/8,0),ROUNDDOWN(Y32/8,0))</f>
        <v>0</v>
      </c>
      <c r="AB32" s="174">
        <f>IF(Y32&lt;8,IF(AA32&gt;0,Z32-8*AA32,0),Y32-8)</f>
        <v>0</v>
      </c>
    </row>
    <row r="33" spans="1:28" ht="13.5" customHeight="1">
      <c r="B33" s="69" t="s">
        <v>100</v>
      </c>
      <c r="C33" s="274" t="str">
        <f>C30</f>
        <v>　シ　遅　早　代　休</v>
      </c>
      <c r="D33" s="275"/>
      <c r="E33" s="276"/>
      <c r="F33" s="292"/>
      <c r="G33" s="111" t="str">
        <f>IF(AND(B32&lt;&gt;"",B32&lt;&gt;"-",U33&gt;0),"(","")</f>
        <v/>
      </c>
      <c r="H33" s="112" t="str">
        <f>IF(AND(B32&lt;&gt;"",B32&lt;&gt;"-",U33&gt;0),"うち深夜","")</f>
        <v/>
      </c>
      <c r="I33" s="113" t="str">
        <f>IF(AND(B32&lt;&gt;"",B32&lt;&gt;"-",U33&gt;0),U33,"")</f>
        <v/>
      </c>
      <c r="J33" s="114" t="str">
        <f>IF(AND(B32&lt;&gt;"",B32&lt;&gt;"-",U33&gt;0),"H)","")</f>
        <v/>
      </c>
      <c r="K33" s="287"/>
      <c r="L33" s="288"/>
      <c r="M33" s="289"/>
      <c r="N33" s="177" t="str">
        <f>IF(AA32&lt;&gt;0,"振("&amp;TEXT(AB32,"0.0")&amp;"H)",IF(Y32&lt;&gt;0,"休保留",""))</f>
        <v/>
      </c>
      <c r="O33" s="115"/>
      <c r="P33" s="11"/>
      <c r="U33" s="176">
        <f>VALUE(MID(T31,7,3))/10</f>
        <v>0</v>
      </c>
    </row>
    <row r="34" spans="1:28" ht="13.5" customHeight="1">
      <c r="A34" s="133">
        <v>9</v>
      </c>
      <c r="B34" s="99"/>
      <c r="C34" s="272" t="s">
        <v>351</v>
      </c>
      <c r="D34" s="85"/>
      <c r="E34" s="85"/>
      <c r="F34" s="290" t="str">
        <f>F31</f>
        <v xml:space="preserve">  本　ユ
  出　教</v>
      </c>
      <c r="G34" s="100"/>
      <c r="H34" s="101"/>
      <c r="I34" s="102">
        <f>IF(AND(B35&lt;&gt;"",B35&lt;&gt;"-"),U34,"- ")</f>
        <v>0</v>
      </c>
      <c r="J34" s="103" t="s">
        <v>120</v>
      </c>
      <c r="K34" s="281"/>
      <c r="L34" s="282"/>
      <c r="M34" s="283"/>
      <c r="N34" s="104"/>
      <c r="O34" s="105"/>
      <c r="P34" s="11"/>
      <c r="T34" s="174" t="str">
        <f>ug_TIME(ROW(),C35,E35)</f>
        <v>00000000000000000</v>
      </c>
      <c r="U34" s="176">
        <f>VALUE(MID(T34,1,3))/10</f>
        <v>0</v>
      </c>
    </row>
    <row r="35" spans="1:28" ht="13.5" customHeight="1">
      <c r="B35" s="106">
        <v>42368</v>
      </c>
      <c r="C35" s="181"/>
      <c r="D35" s="107" t="s">
        <v>121</v>
      </c>
      <c r="E35" s="182"/>
      <c r="F35" s="291"/>
      <c r="G35" s="108"/>
      <c r="H35" s="102"/>
      <c r="I35" s="102" t="str">
        <f>IF(AND(B35&lt;&gt;"",B35&lt;&gt;"-",U35&gt;0),U35,"- ")</f>
        <v xml:space="preserve">- </v>
      </c>
      <c r="J35" s="103" t="s">
        <v>120</v>
      </c>
      <c r="K35" s="284"/>
      <c r="L35" s="285"/>
      <c r="M35" s="286"/>
      <c r="N35" s="109">
        <f>N32+X35+AB35</f>
        <v>0</v>
      </c>
      <c r="O35" s="110"/>
      <c r="P35" s="11"/>
      <c r="U35" s="176">
        <f>VALUE(MID(T34,4,3))/10</f>
        <v>0</v>
      </c>
      <c r="V35" s="174" t="str">
        <f>(TEXT(MID(T34,10,2),"0")&amp;":"&amp;TEXT(MID(T34,12,2),"00") )</f>
        <v>0:00</v>
      </c>
      <c r="W35" s="174" t="str">
        <f>(TEXT(MID(T34,14,2),"0")&amp;":"&amp;TEXT(MID(T34,16,2),"00") )</f>
        <v>0:00</v>
      </c>
      <c r="X35" s="174">
        <f>IF(OR(A34=1,A34=7,A34=9),0,U35)</f>
        <v>0</v>
      </c>
      <c r="Y35" s="174">
        <f>IF(OR(A34=1,A34=7,A34=9),U34,0)</f>
        <v>0</v>
      </c>
      <c r="Z35" s="174">
        <f>IF(Y35&lt;8,IF(AA32&lt;&gt;0,Y35,Z32+Y35),IF(AA32&lt;&gt;0,0,Z32))</f>
        <v>0</v>
      </c>
      <c r="AA35" s="174">
        <f>ROUNDDOWN(Z35/8,0)</f>
        <v>0</v>
      </c>
      <c r="AB35" s="174">
        <f>IF(AA35&gt;0,Z35-8*AA35,0)</f>
        <v>0</v>
      </c>
    </row>
    <row r="36" spans="1:28" ht="13.5" customHeight="1">
      <c r="B36" s="73" t="s">
        <v>101</v>
      </c>
      <c r="C36" s="274" t="str">
        <f>C33</f>
        <v>　シ　遅　早　代　休</v>
      </c>
      <c r="D36" s="275"/>
      <c r="E36" s="276"/>
      <c r="F36" s="292"/>
      <c r="G36" s="111" t="str">
        <f>IF(AND(B35&lt;&gt;"",B35&lt;&gt;"-",U36&gt;0),"(","")</f>
        <v/>
      </c>
      <c r="H36" s="112" t="str">
        <f>IF(AND(B35&lt;&gt;"",B35&lt;&gt;"-",U36&gt;0),"うち深夜","")</f>
        <v/>
      </c>
      <c r="I36" s="113" t="str">
        <f>IF(AND(B35&lt;&gt;"",B35&lt;&gt;"-",U36&gt;0),U36,"")</f>
        <v/>
      </c>
      <c r="J36" s="114" t="str">
        <f>IF(AND(B35&lt;&gt;"",B35&lt;&gt;"-",U36&gt;0),"H)","")</f>
        <v/>
      </c>
      <c r="K36" s="287"/>
      <c r="L36" s="288"/>
      <c r="M36" s="289"/>
      <c r="N36" s="177" t="str">
        <f>IF(AA35&lt;&gt;0,"振("&amp;TEXT(AB35,"0.0")&amp;"H)",IF(Y35&lt;&gt;0,"休保留",""))</f>
        <v/>
      </c>
      <c r="O36" s="115"/>
      <c r="P36" s="11"/>
      <c r="U36" s="176">
        <f>VALUE(MID(T34,7,3))/10</f>
        <v>0</v>
      </c>
    </row>
    <row r="37" spans="1:28" ht="13.5" customHeight="1">
      <c r="A37" s="133">
        <v>9</v>
      </c>
      <c r="B37" s="99"/>
      <c r="C37" s="272" t="s">
        <v>351</v>
      </c>
      <c r="D37" s="85"/>
      <c r="E37" s="85"/>
      <c r="F37" s="290" t="str">
        <f>F34</f>
        <v xml:space="preserve">  本　ユ
  出　教</v>
      </c>
      <c r="G37" s="100"/>
      <c r="H37" s="101"/>
      <c r="I37" s="102">
        <f>IF(AND(B38&lt;&gt;"",B38&lt;&gt;"-"),U37,"- ")</f>
        <v>0</v>
      </c>
      <c r="J37" s="103" t="s">
        <v>120</v>
      </c>
      <c r="K37" s="298"/>
      <c r="L37" s="282"/>
      <c r="M37" s="283"/>
      <c r="N37" s="104"/>
      <c r="O37" s="105"/>
      <c r="P37" s="11"/>
      <c r="T37" s="174" t="str">
        <f>ug_TIME(ROW(),C38,E38)</f>
        <v>00000000000000000</v>
      </c>
      <c r="U37" s="176">
        <f>VALUE(MID(T37,1,3))/10</f>
        <v>0</v>
      </c>
    </row>
    <row r="38" spans="1:28" ht="13.5" customHeight="1">
      <c r="B38" s="106">
        <v>42369</v>
      </c>
      <c r="C38" s="181"/>
      <c r="D38" s="107" t="s">
        <v>121</v>
      </c>
      <c r="E38" s="182"/>
      <c r="F38" s="291"/>
      <c r="G38" s="108"/>
      <c r="H38" s="102"/>
      <c r="I38" s="102" t="str">
        <f>IF(AND(B38&lt;&gt;"",B38&lt;&gt;"-",U38&gt;0),U38,"- ")</f>
        <v xml:space="preserve">- </v>
      </c>
      <c r="J38" s="103" t="s">
        <v>120</v>
      </c>
      <c r="K38" s="284"/>
      <c r="L38" s="285"/>
      <c r="M38" s="286"/>
      <c r="N38" s="109">
        <f>N35+X38+AB38</f>
        <v>0</v>
      </c>
      <c r="O38" s="110"/>
      <c r="P38" s="11"/>
      <c r="U38" s="176">
        <f>VALUE(MID(T37,4,3))/10</f>
        <v>0</v>
      </c>
      <c r="V38" s="174" t="str">
        <f>(TEXT(MID(T37,10,2),"0")&amp;":"&amp;TEXT(MID(T37,12,2),"00") )</f>
        <v>0:00</v>
      </c>
      <c r="W38" s="174" t="str">
        <f>(TEXT(MID(T37,14,2),"0")&amp;":"&amp;TEXT(MID(T37,16,2),"00") )</f>
        <v>0:00</v>
      </c>
      <c r="X38" s="174">
        <f>IF(OR(A37=1,A37=7,A37=9),0,U38)</f>
        <v>0</v>
      </c>
      <c r="Y38" s="174">
        <f>IF(OR(A37=1,A37=7,A37=9),U37,0)</f>
        <v>0</v>
      </c>
      <c r="Z38" s="174">
        <f>IF(Y38&lt;8,IF(AA35&lt;&gt;0,Y38,Z35+Y38),IF(AA35&lt;&gt;0,0,Z35))</f>
        <v>0</v>
      </c>
      <c r="AA38" s="174">
        <f>ROUNDDOWN(Z38/8,0)</f>
        <v>0</v>
      </c>
      <c r="AB38" s="174">
        <f>IF(AA38&gt;0,Z38-8*AA38,0)</f>
        <v>0</v>
      </c>
    </row>
    <row r="39" spans="1:28" ht="13.5" customHeight="1">
      <c r="B39" s="73" t="s">
        <v>102</v>
      </c>
      <c r="C39" s="274" t="str">
        <f>C36</f>
        <v>　シ　遅　早　代　休</v>
      </c>
      <c r="D39" s="275"/>
      <c r="E39" s="276"/>
      <c r="F39" s="292"/>
      <c r="G39" s="111" t="str">
        <f>IF(AND(B38&lt;&gt;"",B38&lt;&gt;"-",U39&gt;0),"(","")</f>
        <v/>
      </c>
      <c r="H39" s="112" t="str">
        <f>IF(AND(B38&lt;&gt;"",B38&lt;&gt;"-",U39&gt;0),"うち深夜","")</f>
        <v/>
      </c>
      <c r="I39" s="113" t="str">
        <f>IF(AND(B38&lt;&gt;"",B38&lt;&gt;"-",U39&gt;0),U39,"")</f>
        <v/>
      </c>
      <c r="J39" s="114" t="str">
        <f>IF(AND(B38&lt;&gt;"",B38&lt;&gt;"-",U39&gt;0),"H)","")</f>
        <v/>
      </c>
      <c r="K39" s="287"/>
      <c r="L39" s="288"/>
      <c r="M39" s="289"/>
      <c r="N39" s="177" t="str">
        <f>IF(AA38&lt;&gt;0,"振("&amp;TEXT(AB38,"0.0")&amp;"H)",IF(Y38&lt;&gt;0,"休保留",""))</f>
        <v/>
      </c>
      <c r="O39" s="115"/>
      <c r="P39" s="11"/>
      <c r="U39" s="176">
        <f>VALUE(MID(T37,7,3))/10</f>
        <v>0</v>
      </c>
    </row>
    <row r="40" spans="1:28" ht="13.5" customHeight="1">
      <c r="A40" s="133">
        <v>9</v>
      </c>
      <c r="B40" s="99" t="s">
        <v>352</v>
      </c>
      <c r="C40" s="272" t="s">
        <v>353</v>
      </c>
      <c r="D40" s="85"/>
      <c r="E40" s="85"/>
      <c r="F40" s="290" t="str">
        <f>F37</f>
        <v xml:space="preserve">  本　ユ
  出　教</v>
      </c>
      <c r="G40" s="100"/>
      <c r="H40" s="101"/>
      <c r="I40" s="102">
        <f>IF(AND(B41&lt;&gt;"",B41&lt;&gt;"-"),U40,"- ")</f>
        <v>0</v>
      </c>
      <c r="J40" s="103" t="s">
        <v>120</v>
      </c>
      <c r="K40" s="298"/>
      <c r="L40" s="282"/>
      <c r="M40" s="283"/>
      <c r="N40" s="104"/>
      <c r="O40" s="105"/>
      <c r="P40" s="11"/>
      <c r="T40" s="174" t="str">
        <f>ug_TIME(ROW(),C41,E41)</f>
        <v>00000000000000000</v>
      </c>
      <c r="U40" s="176">
        <f>VALUE(MID(T40,1,3))/10</f>
        <v>0</v>
      </c>
    </row>
    <row r="41" spans="1:28" ht="13.5" customHeight="1">
      <c r="B41" s="106">
        <v>42370</v>
      </c>
      <c r="C41" s="181"/>
      <c r="D41" s="107" t="s">
        <v>121</v>
      </c>
      <c r="E41" s="182"/>
      <c r="F41" s="291"/>
      <c r="G41" s="108"/>
      <c r="H41" s="102"/>
      <c r="I41" s="102" t="str">
        <f>IF(AND(B41&lt;&gt;"",B41&lt;&gt;"-",U41&gt;0),U41,"- ")</f>
        <v xml:space="preserve">- </v>
      </c>
      <c r="J41" s="103" t="s">
        <v>120</v>
      </c>
      <c r="K41" s="284"/>
      <c r="L41" s="285"/>
      <c r="M41" s="286"/>
      <c r="N41" s="109">
        <f>N38+X41+AB41</f>
        <v>0</v>
      </c>
      <c r="O41" s="110"/>
      <c r="P41" s="11"/>
      <c r="U41" s="176">
        <f>VALUE(MID(T40,4,3))/10</f>
        <v>0</v>
      </c>
      <c r="V41" s="174" t="str">
        <f>(TEXT(MID(T40,10,2),"0")&amp;":"&amp;TEXT(MID(T40,12,2),"00") )</f>
        <v>0:00</v>
      </c>
      <c r="W41" s="174" t="str">
        <f>(TEXT(MID(T40,14,2),"0")&amp;":"&amp;TEXT(MID(T40,16,2),"00") )</f>
        <v>0:00</v>
      </c>
      <c r="X41" s="174">
        <f>IF(OR(A40=1,A40=7,A40=9),0,U41)</f>
        <v>0</v>
      </c>
      <c r="Y41" s="174">
        <f>IF(OR(A40=1,A40=7,A40=9),U40,0)</f>
        <v>0</v>
      </c>
      <c r="Z41" s="174">
        <f>IF(Y41&lt;8,IF(AA38&lt;&gt;0,Y41,Z38+Y41),IF(AA38&lt;&gt;0,0,Z38))</f>
        <v>0</v>
      </c>
      <c r="AA41" s="174">
        <f>ROUNDDOWN(Z41/8,0)</f>
        <v>0</v>
      </c>
      <c r="AB41" s="174">
        <f>IF(AA41&gt;0,Z41-8*AA41,0)</f>
        <v>0</v>
      </c>
    </row>
    <row r="42" spans="1:28" ht="13.5" customHeight="1">
      <c r="B42" s="73" t="s">
        <v>103</v>
      </c>
      <c r="C42" s="274" t="str">
        <f>C39</f>
        <v>　シ　遅　早　代　休</v>
      </c>
      <c r="D42" s="275"/>
      <c r="E42" s="276"/>
      <c r="F42" s="292"/>
      <c r="G42" s="111" t="str">
        <f>IF(AND(B41&lt;&gt;"",B41&lt;&gt;"-",U42&gt;0),"(","")</f>
        <v/>
      </c>
      <c r="H42" s="112" t="str">
        <f>IF(AND(B41&lt;&gt;"",B41&lt;&gt;"-",U42&gt;0),"うち深夜","")</f>
        <v/>
      </c>
      <c r="I42" s="113" t="str">
        <f>IF(AND(B41&lt;&gt;"",B41&lt;&gt;"-",U42&gt;0),U42,"")</f>
        <v/>
      </c>
      <c r="J42" s="114" t="str">
        <f>IF(AND(B41&lt;&gt;"",B41&lt;&gt;"-",U42&gt;0),"H)","")</f>
        <v/>
      </c>
      <c r="K42" s="287"/>
      <c r="L42" s="288"/>
      <c r="M42" s="289"/>
      <c r="N42" s="177" t="str">
        <f>IF(AA41&lt;&gt;0,"振("&amp;TEXT(AB41,"0.0")&amp;"H)",IF(Y41&lt;&gt;0,"休保留",""))</f>
        <v/>
      </c>
      <c r="O42" s="115"/>
      <c r="P42" s="11"/>
      <c r="U42" s="176">
        <f>VALUE(MID(T40,7,3))/10</f>
        <v>0</v>
      </c>
    </row>
    <row r="43" spans="1:28" ht="13.5" customHeight="1">
      <c r="A43" s="133">
        <v>9</v>
      </c>
      <c r="B43" s="99"/>
      <c r="C43" s="272" t="s">
        <v>354</v>
      </c>
      <c r="D43" s="85"/>
      <c r="E43" s="85"/>
      <c r="F43" s="290" t="str">
        <f>F40</f>
        <v xml:space="preserve">  本　ユ
  出　教</v>
      </c>
      <c r="G43" s="100"/>
      <c r="H43" s="101"/>
      <c r="I43" s="102">
        <f>IF(AND(B44&lt;&gt;"",B44&lt;&gt;"-"),U43,"- ")</f>
        <v>0</v>
      </c>
      <c r="J43" s="103" t="s">
        <v>120</v>
      </c>
      <c r="K43" s="298"/>
      <c r="L43" s="282"/>
      <c r="M43" s="283"/>
      <c r="N43" s="104"/>
      <c r="O43" s="105"/>
      <c r="P43" s="11"/>
      <c r="T43" s="174" t="str">
        <f>ug_TIME(ROW(),C44,E44)</f>
        <v>00000000000000000</v>
      </c>
      <c r="U43" s="176">
        <f>VALUE(MID(T43,1,3))/10</f>
        <v>0</v>
      </c>
    </row>
    <row r="44" spans="1:28" ht="13.5" customHeight="1">
      <c r="B44" s="106">
        <v>42371</v>
      </c>
      <c r="C44" s="181"/>
      <c r="D44" s="107" t="s">
        <v>121</v>
      </c>
      <c r="E44" s="182"/>
      <c r="F44" s="291"/>
      <c r="G44" s="108"/>
      <c r="H44" s="102"/>
      <c r="I44" s="102" t="str">
        <f>IF(AND(B44&lt;&gt;"",B44&lt;&gt;"-",U44&gt;0),U44,"- ")</f>
        <v xml:space="preserve">- </v>
      </c>
      <c r="J44" s="103" t="s">
        <v>120</v>
      </c>
      <c r="K44" s="284"/>
      <c r="L44" s="285"/>
      <c r="M44" s="286"/>
      <c r="N44" s="109">
        <f>N41+X44+AB44</f>
        <v>0</v>
      </c>
      <c r="O44" s="110"/>
      <c r="P44" s="11"/>
      <c r="U44" s="176">
        <f>VALUE(MID(T43,4,3))/10</f>
        <v>0</v>
      </c>
      <c r="V44" s="174" t="str">
        <f>(TEXT(MID(T43,10,2),"0")&amp;":"&amp;TEXT(MID(T43,12,2),"00") )</f>
        <v>0:00</v>
      </c>
      <c r="W44" s="174" t="str">
        <f>(TEXT(MID(T43,14,2),"0")&amp;":"&amp;TEXT(MID(T43,16,2),"00") )</f>
        <v>0:00</v>
      </c>
      <c r="X44" s="174">
        <f>IF(OR(A43=1,A43=7,A43=9),0,U44)</f>
        <v>0</v>
      </c>
      <c r="Y44" s="174">
        <f>IF(OR(A43=1,A43=7,A43=9),U43,0)</f>
        <v>0</v>
      </c>
      <c r="Z44" s="174">
        <f>IF(Y44&lt;8,IF(AA41&lt;&gt;0,Y44,Z41+Y44),IF(AA41&lt;&gt;0,0,Z41))</f>
        <v>0</v>
      </c>
      <c r="AA44" s="174">
        <f>ROUNDDOWN(Z44/8,0)</f>
        <v>0</v>
      </c>
      <c r="AB44" s="174">
        <f>IF(AA44&gt;0,Z44-8*AA44,0)</f>
        <v>0</v>
      </c>
    </row>
    <row r="45" spans="1:28" ht="13.5" customHeight="1">
      <c r="B45" s="73" t="s">
        <v>97</v>
      </c>
      <c r="C45" s="274" t="str">
        <f>C42</f>
        <v>　シ　遅　早　代　休</v>
      </c>
      <c r="D45" s="275"/>
      <c r="E45" s="276"/>
      <c r="F45" s="292"/>
      <c r="G45" s="111" t="str">
        <f>IF(AND(B44&lt;&gt;"",B44&lt;&gt;"-",U45&gt;0),"(","")</f>
        <v/>
      </c>
      <c r="H45" s="112" t="str">
        <f>IF(AND(B44&lt;&gt;"",B44&lt;&gt;"-",U45&gt;0),"うち深夜","")</f>
        <v/>
      </c>
      <c r="I45" s="113" t="str">
        <f>IF(AND(B44&lt;&gt;"",B44&lt;&gt;"-",U45&gt;0),U45,"")</f>
        <v/>
      </c>
      <c r="J45" s="114" t="str">
        <f>IF(AND(B44&lt;&gt;"",B44&lt;&gt;"-",U45&gt;0),"H)","")</f>
        <v/>
      </c>
      <c r="K45" s="287"/>
      <c r="L45" s="288"/>
      <c r="M45" s="289"/>
      <c r="N45" s="177" t="str">
        <f>IF(AA44&lt;&gt;0,"振("&amp;TEXT(AB44,"0.0")&amp;"H)",IF(Y44&lt;&gt;0,"休保留",""))</f>
        <v/>
      </c>
      <c r="O45" s="115"/>
      <c r="P45" s="11"/>
      <c r="U45" s="176">
        <f>VALUE(MID(T43,7,3))/10</f>
        <v>0</v>
      </c>
    </row>
    <row r="46" spans="1:28" ht="13.5" customHeight="1">
      <c r="A46" s="133">
        <v>9</v>
      </c>
      <c r="B46" s="99"/>
      <c r="C46" s="272" t="s">
        <v>354</v>
      </c>
      <c r="D46" s="85"/>
      <c r="E46" s="85"/>
      <c r="F46" s="290" t="str">
        <f>F43</f>
        <v xml:space="preserve">  本　ユ
  出　教</v>
      </c>
      <c r="G46" s="100"/>
      <c r="H46" s="101"/>
      <c r="I46" s="102">
        <f>IF(AND(B47&lt;&gt;"",B47&lt;&gt;"-"),U46,"- ")</f>
        <v>0</v>
      </c>
      <c r="J46" s="103" t="s">
        <v>120</v>
      </c>
      <c r="K46" s="298"/>
      <c r="L46" s="282"/>
      <c r="M46" s="283"/>
      <c r="N46" s="178"/>
      <c r="O46" s="105"/>
      <c r="P46" s="11"/>
      <c r="T46" s="174" t="str">
        <f>ug_TIME(ROW(),C47,E47)</f>
        <v>00000000000000000</v>
      </c>
      <c r="U46" s="176">
        <f>VALUE(MID(T46,1,3))/10</f>
        <v>0</v>
      </c>
    </row>
    <row r="47" spans="1:28" ht="13.5" customHeight="1">
      <c r="B47" s="106">
        <v>42372</v>
      </c>
      <c r="C47" s="181"/>
      <c r="D47" s="107" t="s">
        <v>121</v>
      </c>
      <c r="E47" s="182"/>
      <c r="F47" s="291"/>
      <c r="G47" s="108"/>
      <c r="H47" s="102"/>
      <c r="I47" s="102" t="str">
        <f>IF(AND(B47&lt;&gt;"",B47&lt;&gt;"-",U47&gt;0),U47,"- ")</f>
        <v xml:space="preserve">- </v>
      </c>
      <c r="J47" s="103" t="s">
        <v>120</v>
      </c>
      <c r="K47" s="284"/>
      <c r="L47" s="285"/>
      <c r="M47" s="286"/>
      <c r="N47" s="109">
        <f>N44+X47+AB47</f>
        <v>0</v>
      </c>
      <c r="O47" s="110"/>
      <c r="P47" s="11"/>
      <c r="U47" s="176">
        <f>VALUE(MID(T46,4,3))/10</f>
        <v>0</v>
      </c>
      <c r="V47" s="174" t="str">
        <f>(TEXT(MID(T46,10,2),"0")&amp;":"&amp;TEXT(MID(T46,12,2),"00") )</f>
        <v>0:00</v>
      </c>
      <c r="W47" s="174" t="str">
        <f>(TEXT(MID(T46,14,2),"0")&amp;":"&amp;TEXT(MID(T46,16,2),"00") )</f>
        <v>0:00</v>
      </c>
      <c r="X47" s="174">
        <f>IF(OR(A46=1,A46=7,A46=9),0,U47)</f>
        <v>0</v>
      </c>
      <c r="Y47" s="174">
        <f>IF(OR(A46=1,A46=7,A46=9),U46,0)</f>
        <v>0</v>
      </c>
      <c r="Z47" s="174">
        <f>IF(Y47&lt;8,IF(AA44&lt;&gt;0,Y47,Z44+Y47),IF(AA44&lt;&gt;0,0,Z44))</f>
        <v>0</v>
      </c>
      <c r="AA47" s="174">
        <f>ROUNDDOWN(Z47/8,0)</f>
        <v>0</v>
      </c>
      <c r="AB47" s="174">
        <f>IF(AA47&gt;0,Z47-8*AA47,0)</f>
        <v>0</v>
      </c>
    </row>
    <row r="48" spans="1:28" ht="13.5" customHeight="1">
      <c r="B48" s="73" t="s">
        <v>98</v>
      </c>
      <c r="C48" s="274" t="str">
        <f>C45</f>
        <v>　シ　遅　早　代　休</v>
      </c>
      <c r="D48" s="275"/>
      <c r="E48" s="276"/>
      <c r="F48" s="292"/>
      <c r="G48" s="111" t="str">
        <f>IF(AND(B47&lt;&gt;"",B47&lt;&gt;"-",U48&gt;0),"(","")</f>
        <v/>
      </c>
      <c r="H48" s="112" t="str">
        <f>IF(AND(B47&lt;&gt;"",B47&lt;&gt;"-",U48&gt;0),"うち深夜","")</f>
        <v/>
      </c>
      <c r="I48" s="113" t="str">
        <f>IF(AND(B47&lt;&gt;"",B47&lt;&gt;"-",U48&gt;0),U48,"")</f>
        <v/>
      </c>
      <c r="J48" s="114" t="str">
        <f>IF(AND(B47&lt;&gt;"",B47&lt;&gt;"-",U48&gt;0),"H)","")</f>
        <v/>
      </c>
      <c r="K48" s="287"/>
      <c r="L48" s="288"/>
      <c r="M48" s="289"/>
      <c r="N48" s="270" t="str">
        <f>IF(AA47&lt;&gt;0,"振("&amp;TEXT(AB47,"0.0")&amp;"H)",IF(Y47&lt;&gt;0,"休保留",""))</f>
        <v/>
      </c>
      <c r="O48" s="115"/>
      <c r="P48" s="11"/>
      <c r="U48" s="176">
        <f>VALUE(MID(T46,7,3))/10</f>
        <v>0</v>
      </c>
    </row>
    <row r="49" spans="1:28" ht="13.5" customHeight="1">
      <c r="A49" s="133">
        <v>2</v>
      </c>
      <c r="B49" s="99"/>
      <c r="C49" s="67"/>
      <c r="D49" s="85"/>
      <c r="E49" s="85"/>
      <c r="F49" s="290" t="str">
        <f>F46</f>
        <v xml:space="preserve">  本　ユ
  出　教</v>
      </c>
      <c r="G49" s="100"/>
      <c r="H49" s="101"/>
      <c r="I49" s="102">
        <f>IF(AND(B50&lt;&gt;"",B50&lt;&gt;"-"),U49,"- ")</f>
        <v>0</v>
      </c>
      <c r="J49" s="103" t="s">
        <v>120</v>
      </c>
      <c r="K49" s="281"/>
      <c r="L49" s="282"/>
      <c r="M49" s="283"/>
      <c r="N49" s="178"/>
      <c r="O49" s="105"/>
      <c r="P49" s="11"/>
      <c r="T49" s="174" t="str">
        <f>ug_TIME(ROW(),C50,E50)</f>
        <v>00000000000000000</v>
      </c>
      <c r="U49" s="176">
        <f>VALUE(MID(T49,1,3))/10</f>
        <v>0</v>
      </c>
    </row>
    <row r="50" spans="1:28" ht="13.5" customHeight="1">
      <c r="B50" s="106">
        <v>42373</v>
      </c>
      <c r="C50" s="181"/>
      <c r="D50" s="107" t="s">
        <v>121</v>
      </c>
      <c r="E50" s="182"/>
      <c r="F50" s="291"/>
      <c r="G50" s="108"/>
      <c r="H50" s="102"/>
      <c r="I50" s="102" t="str">
        <f>IF(AND(B50&lt;&gt;"",B50&lt;&gt;"-",U50&gt;0),U50,"- ")</f>
        <v xml:space="preserve">- </v>
      </c>
      <c r="J50" s="103" t="s">
        <v>120</v>
      </c>
      <c r="K50" s="284"/>
      <c r="L50" s="285"/>
      <c r="M50" s="286"/>
      <c r="N50" s="109">
        <f>N47+X50+AB50</f>
        <v>0</v>
      </c>
      <c r="O50" s="110"/>
      <c r="P50" s="11"/>
      <c r="U50" s="176">
        <f>VALUE(MID(T49,4,3))/10</f>
        <v>0</v>
      </c>
      <c r="V50" s="174" t="str">
        <f>(TEXT(MID(T49,10,2),"0")&amp;":"&amp;TEXT(MID(T49,12,2),"00") )</f>
        <v>0:00</v>
      </c>
      <c r="W50" s="174" t="str">
        <f>(TEXT(MID(T49,14,2),"0")&amp;":"&amp;TEXT(MID(T49,16,2),"00") )</f>
        <v>0:00</v>
      </c>
      <c r="X50" s="174">
        <f>IF(OR(A49=1,A49=7,A49=9),0,U50)</f>
        <v>0</v>
      </c>
      <c r="Y50" s="174">
        <f>IF(OR(A49=1,A49=7,A49=9),U49,0)</f>
        <v>0</v>
      </c>
      <c r="Z50" s="174">
        <f>IF(Y50&lt;8,IF(AA47&lt;&gt;0,Y50,Z47+Y50),IF(AA47&lt;&gt;0,0,Z47))</f>
        <v>0</v>
      </c>
      <c r="AA50" s="174">
        <f>ROUNDDOWN(Z50/8,0)</f>
        <v>0</v>
      </c>
      <c r="AB50" s="174">
        <f>IF(AA50&gt;0,Z50-8*AA50,0)</f>
        <v>0</v>
      </c>
    </row>
    <row r="51" spans="1:28" ht="13.5" customHeight="1">
      <c r="B51" s="69" t="s">
        <v>99</v>
      </c>
      <c r="C51" s="274" t="str">
        <f>C48</f>
        <v>　シ　遅　早　代　休</v>
      </c>
      <c r="D51" s="275"/>
      <c r="E51" s="276"/>
      <c r="F51" s="292"/>
      <c r="G51" s="111" t="str">
        <f>IF(AND(B50&lt;&gt;"",B50&lt;&gt;"-",U51&gt;0),"(","")</f>
        <v/>
      </c>
      <c r="H51" s="112" t="str">
        <f>IF(AND(B50&lt;&gt;"",B50&lt;&gt;"-",U51&gt;0),"うち深夜","")</f>
        <v/>
      </c>
      <c r="I51" s="113" t="str">
        <f>IF(AND(B50&lt;&gt;"",B50&lt;&gt;"-",U51&gt;0),U51,"")</f>
        <v/>
      </c>
      <c r="J51" s="114" t="str">
        <f>IF(AND(B50&lt;&gt;"",B50&lt;&gt;"-",U51&gt;0),"H)","")</f>
        <v/>
      </c>
      <c r="K51" s="287"/>
      <c r="L51" s="288"/>
      <c r="M51" s="289"/>
      <c r="N51" s="270" t="str">
        <f>IF(AA50&lt;&gt;0,"振("&amp;TEXT(AB50,"0.0")&amp;"H)",IF(Y50&lt;&gt;0,"休保留",""))</f>
        <v/>
      </c>
      <c r="O51" s="115"/>
      <c r="P51" s="11"/>
      <c r="U51" s="176">
        <f>VALUE(MID(T49,7,3))/10</f>
        <v>0</v>
      </c>
    </row>
    <row r="52" spans="1:28" ht="13.5" customHeight="1">
      <c r="A52" s="133">
        <v>3</v>
      </c>
      <c r="B52" s="118"/>
      <c r="C52" s="67"/>
      <c r="D52" s="119"/>
      <c r="E52" s="119"/>
      <c r="F52" s="290" t="str">
        <f>F49</f>
        <v xml:space="preserve">  本　ユ
  出　教</v>
      </c>
      <c r="G52" s="100"/>
      <c r="H52" s="101"/>
      <c r="I52" s="102">
        <f>IF(AND(B53&lt;&gt;"",B53&lt;&gt;"-"),U52,"- ")</f>
        <v>0</v>
      </c>
      <c r="J52" s="103" t="s">
        <v>120</v>
      </c>
      <c r="K52" s="281"/>
      <c r="L52" s="282"/>
      <c r="M52" s="283"/>
      <c r="N52" s="178"/>
      <c r="O52" s="8"/>
      <c r="P52" s="11"/>
      <c r="T52" s="174" t="str">
        <f>ug_TIME(ROW(),C53,E53)</f>
        <v>00000000000000000</v>
      </c>
      <c r="U52" s="176">
        <f>VALUE(MID(T52,1,3))/10</f>
        <v>0</v>
      </c>
    </row>
    <row r="53" spans="1:28" ht="13.5" customHeight="1">
      <c r="B53" s="83">
        <v>42374</v>
      </c>
      <c r="C53" s="181"/>
      <c r="D53" s="84" t="s">
        <v>123</v>
      </c>
      <c r="E53" s="182"/>
      <c r="F53" s="291"/>
      <c r="G53" s="108"/>
      <c r="H53" s="102"/>
      <c r="I53" s="102" t="str">
        <f>IF(AND(B53&lt;&gt;"",B53&lt;&gt;"-",U53&gt;0),U53,"- ")</f>
        <v xml:space="preserve">- </v>
      </c>
      <c r="J53" s="103" t="s">
        <v>120</v>
      </c>
      <c r="K53" s="284"/>
      <c r="L53" s="285"/>
      <c r="M53" s="286"/>
      <c r="N53" s="109">
        <f>N50+X53+AB53</f>
        <v>0</v>
      </c>
      <c r="O53" s="6"/>
      <c r="P53" s="11"/>
      <c r="U53" s="176">
        <f>VALUE(MID(T52,4,3))/10</f>
        <v>0</v>
      </c>
      <c r="V53" s="174" t="str">
        <f>(TEXT(MID(T52,10,2),"0")&amp;":"&amp;TEXT(MID(T52,12,2),"00") )</f>
        <v>0:00</v>
      </c>
      <c r="W53" s="174" t="str">
        <f>(TEXT(MID(T52,14,2),"0")&amp;":"&amp;TEXT(MID(T52,16,2),"00") )</f>
        <v>0:00</v>
      </c>
      <c r="X53" s="174">
        <f>IF(OR(A52=1,A52=7,A52=9),0,U53)</f>
        <v>0</v>
      </c>
      <c r="Y53" s="174">
        <f>IF(OR(A52=1,A52=7,A52=9),U52,0)</f>
        <v>0</v>
      </c>
      <c r="Z53" s="174">
        <f>IF(Y53&lt;8,IF(AA50&lt;&gt;0,Y53,Z50+Y53),IF(AA50&lt;&gt;0,0,Z50))</f>
        <v>0</v>
      </c>
      <c r="AA53" s="174">
        <f>ROUNDDOWN(Z53/8,0)</f>
        <v>0</v>
      </c>
      <c r="AB53" s="174">
        <f>IF(AA53&gt;0,Z53-8*AA53,0)</f>
        <v>0</v>
      </c>
    </row>
    <row r="54" spans="1:28" ht="13.5" customHeight="1">
      <c r="B54" s="69" t="s">
        <v>100</v>
      </c>
      <c r="C54" s="299" t="str">
        <f>C51</f>
        <v>　シ　遅　早　代　休</v>
      </c>
      <c r="D54" s="275"/>
      <c r="E54" s="276"/>
      <c r="F54" s="292"/>
      <c r="G54" s="111" t="str">
        <f>IF(AND(B53&lt;&gt;"",B53&lt;&gt;"-",U54&gt;0),"(","")</f>
        <v/>
      </c>
      <c r="H54" s="112" t="str">
        <f>IF(AND(B53&lt;&gt;"",B53&lt;&gt;"-",U54&gt;0),"うち深夜","")</f>
        <v/>
      </c>
      <c r="I54" s="113" t="str">
        <f>IF(AND(B53&lt;&gt;"",B53&lt;&gt;"-",U54&gt;0),U54,"")</f>
        <v/>
      </c>
      <c r="J54" s="114" t="str">
        <f>IF(AND(B53&lt;&gt;"",B53&lt;&gt;"-",U54&gt;0),"H)","")</f>
        <v/>
      </c>
      <c r="K54" s="287"/>
      <c r="L54" s="288"/>
      <c r="M54" s="289"/>
      <c r="N54" s="270" t="str">
        <f>IF(AA53&lt;&gt;0,"振("&amp;TEXT(AB53,"0.0")&amp;"H)",IF(Y53&lt;&gt;0,"休保留",""))</f>
        <v/>
      </c>
      <c r="O54" s="7"/>
      <c r="P54" s="11"/>
      <c r="U54" s="176">
        <f>VALUE(MID(T52,7,3))/10</f>
        <v>0</v>
      </c>
    </row>
    <row r="55" spans="1:28" ht="13.5" customHeight="1">
      <c r="B55" s="88" t="s">
        <v>72</v>
      </c>
      <c r="C55" s="48"/>
      <c r="D55" s="48"/>
      <c r="E55" s="134" t="str">
        <f>"既定勤務時間 "&amp;TEXT(パラメタ!E18,"h:mm")&amp;"～"&amp;TEXT(パラメタ!F18,"h:mm")</f>
        <v>既定勤務時間 8:30～17:30</v>
      </c>
      <c r="F55" s="134"/>
      <c r="G55" s="135"/>
      <c r="H55" s="135"/>
      <c r="I55" s="135"/>
      <c r="J55" s="134" t="str">
        <f>"休憩時間 "&amp;TEXT(パラメタ!E19,"h:mm")&amp;"～"&amp;TEXT(パラメタ!F19,"h:mm")&amp;"  "&amp;TEXT(パラメタ!E22,"h:mm")&amp;"～"&amp;TEXT(パラメタ!F22,"h:mm")</f>
        <v>休憩時間 12:00～13:00  4:30～5:00</v>
      </c>
      <c r="L55" s="135"/>
      <c r="M55" s="134"/>
      <c r="N55" s="192" t="str">
        <f>IF(Z53&lt;&gt;0,"休日"&amp;TEXT(Z53,"0.0")&amp;"H(保留)","")</f>
        <v/>
      </c>
      <c r="O55" s="50"/>
    </row>
    <row r="56" spans="1:28" ht="13.5" customHeight="1">
      <c r="B56" s="51"/>
      <c r="C56" s="266" t="str">
        <f>IF('勤務報告書(上)'!U56&gt;パラメタ!F11,"残業累計が"&amp;TEXT(パラメタ!F11,"0.0")&amp;"Hを超えています。","")</f>
        <v/>
      </c>
      <c r="D56" s="52"/>
      <c r="F56" s="136"/>
      <c r="G56" s="136"/>
      <c r="H56" s="136"/>
      <c r="I56" s="136"/>
      <c r="J56" s="137" t="str">
        <f>"　　　　 "&amp;TEXT(パラメタ!E20,"h:mm")&amp;"～"&amp;TEXT(パラメタ!F20,"h:mm")&amp;"  "&amp;TEXT(パラメタ!E23,"h:mm")&amp;"～"&amp;TEXT(パラメタ!F23,"h:mm")</f>
        <v>　　　　 17:30～18:00  8:00～8:30</v>
      </c>
      <c r="L56" s="136"/>
      <c r="M56" s="137"/>
      <c r="N56" s="193" t="str">
        <f>IF(N53&lt;&gt;0,"中計"&amp;TEXT(N53,"0.0")&amp;"H","")</f>
        <v/>
      </c>
      <c r="O56" s="54"/>
      <c r="T56" s="174" t="s">
        <v>160</v>
      </c>
      <c r="U56" s="199">
        <f>N53</f>
        <v>0</v>
      </c>
    </row>
    <row r="57" spans="1:28" ht="13.5" customHeight="1">
      <c r="B57" s="55"/>
      <c r="C57" s="267" t="str">
        <f>IF('勤務報告書(上)'!U56&gt;パラメタ!F11,"繁忙期申請の有無を記入してください。","")</f>
        <v/>
      </c>
      <c r="D57" s="56"/>
      <c r="F57" s="138"/>
      <c r="G57" s="138"/>
      <c r="H57" s="138"/>
      <c r="I57" s="138"/>
      <c r="J57" s="139" t="str">
        <f>"　　　　 "&amp;TEXT(パラメタ!E21,"h:mm")&amp;"～"&amp;TEXT(パラメタ!F21,"h:mm")</f>
        <v>　　　　 21:30～22:00</v>
      </c>
      <c r="K57" s="138"/>
      <c r="L57" s="138"/>
      <c r="M57" s="138"/>
      <c r="N57" s="194"/>
      <c r="O57" s="58"/>
    </row>
    <row r="58" spans="1:28" ht="13.5" customHeight="1">
      <c r="B58" s="19"/>
      <c r="C58" s="48"/>
      <c r="D58" s="48"/>
      <c r="E58" s="49"/>
      <c r="F58" s="135"/>
      <c r="G58" s="135"/>
      <c r="H58" s="135"/>
      <c r="I58" s="135"/>
      <c r="J58" s="135"/>
      <c r="K58" s="135"/>
      <c r="L58" s="135"/>
      <c r="M58" s="135"/>
      <c r="N58" s="135"/>
      <c r="O58" s="50"/>
    </row>
    <row r="59" spans="1:28" ht="15" customHeight="1">
      <c r="B59" s="26"/>
      <c r="C59" s="56"/>
      <c r="D59" s="56"/>
      <c r="E59" s="57"/>
      <c r="F59" s="138"/>
      <c r="G59" s="138"/>
      <c r="H59" s="138"/>
      <c r="I59" s="138"/>
      <c r="J59" s="138"/>
      <c r="K59" s="138"/>
      <c r="L59" s="138"/>
      <c r="M59" s="138"/>
      <c r="N59" s="138"/>
      <c r="O59" s="58"/>
    </row>
    <row r="60" spans="1:28" ht="13.5" customHeight="1">
      <c r="O60" s="129" t="str">
        <f>パラメタ!E2</f>
        <v>Ver2.0</v>
      </c>
    </row>
    <row r="62" spans="1:28">
      <c r="F62" s="132"/>
    </row>
    <row r="63" spans="1:28">
      <c r="F63" s="130"/>
    </row>
    <row r="64" spans="1:28">
      <c r="F64" s="130"/>
    </row>
    <row r="65" spans="6:6">
      <c r="F65" s="131"/>
    </row>
    <row r="66" spans="6:6">
      <c r="F66" s="131"/>
    </row>
    <row r="67" spans="6:6">
      <c r="F67" s="131"/>
    </row>
  </sheetData>
  <sheetProtection sheet="1" objects="1" scenarios="1"/>
  <mergeCells count="53">
    <mergeCell ref="K37:M39"/>
    <mergeCell ref="F37:F39"/>
    <mergeCell ref="C39:E39"/>
    <mergeCell ref="K40:M42"/>
    <mergeCell ref="F40:F42"/>
    <mergeCell ref="C42:E42"/>
    <mergeCell ref="K52:M54"/>
    <mergeCell ref="F52:F54"/>
    <mergeCell ref="C54:E54"/>
    <mergeCell ref="K43:M45"/>
    <mergeCell ref="F43:F45"/>
    <mergeCell ref="C45:E45"/>
    <mergeCell ref="K46:M48"/>
    <mergeCell ref="K49:M51"/>
    <mergeCell ref="F49:F51"/>
    <mergeCell ref="C51:E51"/>
    <mergeCell ref="F46:F48"/>
    <mergeCell ref="C48:E48"/>
    <mergeCell ref="K31:M33"/>
    <mergeCell ref="F31:F33"/>
    <mergeCell ref="C33:E33"/>
    <mergeCell ref="C36:E36"/>
    <mergeCell ref="K34:M36"/>
    <mergeCell ref="F34:F36"/>
    <mergeCell ref="K25:M27"/>
    <mergeCell ref="F25:F27"/>
    <mergeCell ref="C27:E27"/>
    <mergeCell ref="K28:M30"/>
    <mergeCell ref="F28:F30"/>
    <mergeCell ref="C30:E30"/>
    <mergeCell ref="K19:M21"/>
    <mergeCell ref="F19:F21"/>
    <mergeCell ref="C21:E21"/>
    <mergeCell ref="K22:M24"/>
    <mergeCell ref="F22:F24"/>
    <mergeCell ref="C24:E24"/>
    <mergeCell ref="K10:M12"/>
    <mergeCell ref="F10:F12"/>
    <mergeCell ref="C12:E12"/>
    <mergeCell ref="K16:M18"/>
    <mergeCell ref="F16:F18"/>
    <mergeCell ref="C18:E18"/>
    <mergeCell ref="K13:M15"/>
    <mergeCell ref="F13:F15"/>
    <mergeCell ref="C15:E15"/>
    <mergeCell ref="C9:E9"/>
    <mergeCell ref="M1:O1"/>
    <mergeCell ref="N5:N6"/>
    <mergeCell ref="K7:M9"/>
    <mergeCell ref="F7:F9"/>
    <mergeCell ref="I4:K4"/>
    <mergeCell ref="G4:H4"/>
    <mergeCell ref="C4:D4"/>
  </mergeCells>
  <phoneticPr fontId="4"/>
  <dataValidations disablePrompts="1" count="1">
    <dataValidation type="list" showInputMessage="1" showErrorMessage="1" errorTitle="勤務報告書" error="リストから選択してください！" sqref="F4">
      <formula1>役職リスト</formula1>
    </dataValidation>
  </dataValidations>
  <printOptions gridLinesSet="0"/>
  <pageMargins left="0.33" right="0.2" top="0.41" bottom="0.33" header="0.31" footer="0.23"/>
  <pageSetup paperSize="9" orientation="portrait" horizontalDpi="4294967293" verticalDpi="300" r:id="rId1"/>
  <headerFooter alignWithMargins="0"/>
  <drawing r:id="rId2"/>
  <legacyDrawing r:id="rId3"/>
  <controls>
    <control shapeId="1066" r:id="rId4" name="CheckK011"/>
    <control shapeId="1068" r:id="rId5" name="CheckK012"/>
    <control shapeId="1070" r:id="rId6" name="CheckK013"/>
    <control shapeId="1072" r:id="rId7" name="CheckK014"/>
    <control shapeId="1074" r:id="rId8" name="CheckK015"/>
    <control shapeId="1132" r:id="rId9" name="CheckK021"/>
    <control shapeId="1134" r:id="rId10" name="CheckK022"/>
    <control shapeId="1136" r:id="rId11" name="CheckK023"/>
    <control shapeId="1138" r:id="rId12" name="CheckK024"/>
    <control shapeId="1140" r:id="rId13" name="CheckK025"/>
    <control shapeId="1159" r:id="rId14" name="CheckK031"/>
    <control shapeId="1161" r:id="rId15" name="CheckK032"/>
    <control shapeId="1163" r:id="rId16" name="CheckK033"/>
    <control shapeId="1165" r:id="rId17" name="CheckK034"/>
    <control shapeId="1167" r:id="rId18" name="CheckK035"/>
    <control shapeId="1177" r:id="rId19" name="CheckK041"/>
    <control shapeId="1179" r:id="rId20" name="CheckK042"/>
    <control shapeId="1181" r:id="rId21" name="CheckK043"/>
    <control shapeId="1183" r:id="rId22" name="CheckK044"/>
    <control shapeId="1185" r:id="rId23" name="CheckK045"/>
    <control shapeId="1195" r:id="rId24" name="CheckK051"/>
    <control shapeId="1197" r:id="rId25" name="CheckK052"/>
    <control shapeId="1199" r:id="rId26" name="CheckK053"/>
    <control shapeId="1201" r:id="rId27" name="CheckK054"/>
    <control shapeId="1203" r:id="rId28" name="CheckK055"/>
    <control shapeId="1213" r:id="rId29" name="CheckK061"/>
    <control shapeId="1215" r:id="rId30" name="CheckK062"/>
    <control shapeId="1217" r:id="rId31" name="CheckK063"/>
    <control shapeId="1219" r:id="rId32" name="CheckK064"/>
    <control shapeId="1221" r:id="rId33" name="CheckK065"/>
    <control shapeId="1231" r:id="rId34" name="CheckK071"/>
    <control shapeId="1233" r:id="rId35" name="CheckK072"/>
    <control shapeId="1235" r:id="rId36" name="CheckK073"/>
    <control shapeId="1237" r:id="rId37" name="CheckK074"/>
    <control shapeId="1239" r:id="rId38" name="CheckK075"/>
    <control shapeId="1249" r:id="rId39" name="CheckK081"/>
    <control shapeId="1251" r:id="rId40" name="CheckK082"/>
    <control shapeId="1253" r:id="rId41" name="CheckK083"/>
    <control shapeId="1255" r:id="rId42" name="CheckK084"/>
    <control shapeId="1257" r:id="rId43" name="CheckK085"/>
    <control shapeId="1267" r:id="rId44" name="CheckK091"/>
    <control shapeId="1269" r:id="rId45" name="CheckK092"/>
    <control shapeId="1271" r:id="rId46" name="CheckK093"/>
    <control shapeId="1273" r:id="rId47" name="CheckK094"/>
    <control shapeId="1275" r:id="rId48" name="CheckK095"/>
    <control shapeId="1285" r:id="rId49" name="CheckK101"/>
    <control shapeId="1287" r:id="rId50" name="CheckK102"/>
    <control shapeId="1289" r:id="rId51" name="CheckK103"/>
    <control shapeId="1291" r:id="rId52" name="CheckK104"/>
    <control shapeId="1293" r:id="rId53" name="CheckK105"/>
    <control shapeId="1303" r:id="rId54" name="CheckK111"/>
    <control shapeId="1305" r:id="rId55" name="CheckK112"/>
    <control shapeId="1307" r:id="rId56" name="CheckK113"/>
    <control shapeId="1309" r:id="rId57" name="CheckK114"/>
    <control shapeId="1311" r:id="rId58" name="CheckK115"/>
    <control shapeId="1321" r:id="rId59" name="CheckK121"/>
    <control shapeId="1323" r:id="rId60" name="CheckK122"/>
    <control shapeId="1325" r:id="rId61" name="CheckK123"/>
    <control shapeId="1327" r:id="rId62" name="CheckK124"/>
    <control shapeId="1329" r:id="rId63" name="CheckK125"/>
    <control shapeId="1339" r:id="rId64" name="CheckK131"/>
    <control shapeId="1341" r:id="rId65" name="CheckK132"/>
    <control shapeId="1343" r:id="rId66" name="CheckK133"/>
    <control shapeId="1345" r:id="rId67" name="CheckK134"/>
    <control shapeId="1347" r:id="rId68" name="CheckK135"/>
    <control shapeId="1357" r:id="rId69" name="CheckK141"/>
    <control shapeId="1359" r:id="rId70" name="CheckK142"/>
    <control shapeId="1361" r:id="rId71" name="CheckK143"/>
    <control shapeId="1363" r:id="rId72" name="CheckK144"/>
    <control shapeId="1365" r:id="rId73" name="CheckK145"/>
    <control shapeId="1375" r:id="rId74" name="CheckK151"/>
    <control shapeId="1377" r:id="rId75" name="CheckK152"/>
    <control shapeId="1379" r:id="rId76" name="CheckK153"/>
    <control shapeId="1381" r:id="rId77" name="CheckK154"/>
    <control shapeId="1383" r:id="rId78" name="CheckK155"/>
    <control shapeId="1393" r:id="rId79" name="CheckK161"/>
    <control shapeId="1395" r:id="rId80" name="CheckK162"/>
    <control shapeId="1397" r:id="rId81" name="CheckK163"/>
    <control shapeId="1399" r:id="rId82" name="CheckK164"/>
    <control shapeId="1401" r:id="rId83" name="CheckK165"/>
    <control shapeId="1412" r:id="rId84" name="CheckB011"/>
    <control shapeId="1413" r:id="rId85" name="CheckB013"/>
    <control shapeId="1414" r:id="rId86" name="CheckB012"/>
    <control shapeId="1415" r:id="rId87" name="CheckB014"/>
    <control shapeId="1476" r:id="rId88" name="CheckB021"/>
    <control shapeId="1477" r:id="rId89" name="CheckB023"/>
    <control shapeId="1478" r:id="rId90" name="CheckB022"/>
    <control shapeId="1479" r:id="rId91" name="CheckB024"/>
    <control shapeId="1480" r:id="rId92" name="CheckB031"/>
    <control shapeId="1481" r:id="rId93" name="CheckB033"/>
    <control shapeId="1482" r:id="rId94" name="CheckB032"/>
    <control shapeId="1483" r:id="rId95" name="CheckB034"/>
    <control shapeId="1484" r:id="rId96" name="CheckB041"/>
    <control shapeId="1485" r:id="rId97" name="CheckB043"/>
    <control shapeId="1486" r:id="rId98" name="CheckB042"/>
    <control shapeId="1487" r:id="rId99" name="CheckB044"/>
    <control shapeId="1488" r:id="rId100" name="CheckB051"/>
    <control shapeId="1489" r:id="rId101" name="CheckB053"/>
    <control shapeId="1490" r:id="rId102" name="CheckB052"/>
    <control shapeId="1491" r:id="rId103" name="CheckB054"/>
    <control shapeId="1492" r:id="rId104" name="CheckB061"/>
    <control shapeId="1493" r:id="rId105" name="CheckB063"/>
    <control shapeId="1494" r:id="rId106" name="CheckB062"/>
    <control shapeId="1495" r:id="rId107" name="CheckB064"/>
    <control shapeId="1496" r:id="rId108" name="CheckB071"/>
    <control shapeId="1497" r:id="rId109" name="CheckB073"/>
    <control shapeId="1498" r:id="rId110" name="CheckB072"/>
    <control shapeId="1499" r:id="rId111" name="CheckB074"/>
    <control shapeId="1500" r:id="rId112" name="CheckB081"/>
    <control shapeId="1501" r:id="rId113" name="CheckB083"/>
    <control shapeId="1502" r:id="rId114" name="CheckB082"/>
    <control shapeId="1503" r:id="rId115" name="CheckB084"/>
    <control shapeId="1504" r:id="rId116" name="CheckB091"/>
    <control shapeId="1505" r:id="rId117" name="CheckB093"/>
    <control shapeId="1506" r:id="rId118" name="CheckB092"/>
    <control shapeId="1507" r:id="rId119" name="CheckB094"/>
    <control shapeId="1508" r:id="rId120" name="CheckB101"/>
    <control shapeId="1509" r:id="rId121" name="CheckB103"/>
    <control shapeId="1510" r:id="rId122" name="CheckB102"/>
    <control shapeId="1511" r:id="rId123" name="CheckB104"/>
    <control shapeId="1512" r:id="rId124" name="CheckB111"/>
    <control shapeId="1513" r:id="rId125" name="CheckB113"/>
    <control shapeId="1514" r:id="rId126" name="CheckB112"/>
    <control shapeId="1515" r:id="rId127" name="CheckB114"/>
    <control shapeId="1516" r:id="rId128" name="CheckB121"/>
    <control shapeId="1517" r:id="rId129" name="CheckB123"/>
    <control shapeId="1518" r:id="rId130" name="CheckB122"/>
    <control shapeId="1519" r:id="rId131" name="CheckB124"/>
    <control shapeId="1520" r:id="rId132" name="CheckB131"/>
    <control shapeId="1521" r:id="rId133" name="CheckB133"/>
    <control shapeId="1522" r:id="rId134" name="CheckB132"/>
    <control shapeId="1523" r:id="rId135" name="CheckB134"/>
    <control shapeId="1524" r:id="rId136" name="CheckB141"/>
    <control shapeId="1525" r:id="rId137" name="CheckB143"/>
    <control shapeId="1526" r:id="rId138" name="CheckB142"/>
    <control shapeId="1527" r:id="rId139" name="CheckB144"/>
    <control shapeId="1528" r:id="rId140" name="CheckB151"/>
    <control shapeId="1529" r:id="rId141" name="CheckB153"/>
    <control shapeId="1530" r:id="rId142" name="CheckB152"/>
    <control shapeId="1531" r:id="rId143" name="CheckB154"/>
    <control shapeId="1532" r:id="rId144" name="CheckB161"/>
    <control shapeId="1533" r:id="rId145" name="CheckB163"/>
    <control shapeId="1534" r:id="rId146" name="CheckB162"/>
    <control shapeId="1535" r:id="rId147" name="CheckB164"/>
  </controls>
</worksheet>
</file>

<file path=xl/worksheets/sheet2.xml><?xml version="1.0" encoding="utf-8"?>
<worksheet xmlns="http://schemas.openxmlformats.org/spreadsheetml/2006/main" xmlns:r="http://schemas.openxmlformats.org/officeDocument/2006/relationships">
  <sheetPr codeName="Sheet5"/>
  <dimension ref="A1:N60"/>
  <sheetViews>
    <sheetView showGridLines="0" workbookViewId="0">
      <pane ySplit="6" topLeftCell="A40" activePane="bottomLeft" state="frozen"/>
      <selection activeCell="K22" sqref="K22:M24"/>
      <selection pane="bottomLeft" activeCell="H58" sqref="H58"/>
    </sheetView>
  </sheetViews>
  <sheetFormatPr defaultRowHeight="12"/>
  <cols>
    <col min="1" max="1" width="1.5703125" style="173" customWidth="1"/>
    <col min="2" max="2" width="7.28515625" style="173" customWidth="1"/>
    <col min="3" max="3" width="8.7109375" style="173" customWidth="1"/>
    <col min="4" max="4" width="3.85546875" style="173" customWidth="1"/>
    <col min="5" max="5" width="8.7109375" style="173" customWidth="1"/>
    <col min="6" max="6" width="1.42578125" style="173" customWidth="1"/>
    <col min="7" max="7" width="6.85546875" style="173" customWidth="1"/>
    <col min="8" max="8" width="6.7109375" style="173" customWidth="1"/>
    <col min="9" max="9" width="3" style="173" customWidth="1"/>
    <col min="10" max="10" width="25.85546875" style="173" customWidth="1"/>
    <col min="11" max="11" width="8.5703125" style="173" customWidth="1"/>
    <col min="12" max="12" width="9.85546875" style="173" customWidth="1"/>
    <col min="13" max="13" width="8.42578125" style="173" customWidth="1"/>
    <col min="14" max="14" width="8.5703125" style="173" customWidth="1"/>
  </cols>
  <sheetData>
    <row r="1" spans="1:14" ht="19.5" customHeight="1">
      <c r="A1" s="133" t="str">
        <f>"【"&amp;パラメタ!E1&amp;"】"</f>
        <v>【株式会社システムリンク】</v>
      </c>
      <c r="B1" s="4"/>
      <c r="C1" s="4"/>
      <c r="D1" s="4"/>
      <c r="E1" s="1"/>
      <c r="F1" s="133"/>
      <c r="G1" s="133"/>
      <c r="H1" s="133"/>
      <c r="I1" s="133"/>
      <c r="J1" s="126" t="s">
        <v>108</v>
      </c>
      <c r="K1" s="13"/>
      <c r="L1" s="277">
        <f ca="1">'勤務報告書(上)'!M1</f>
        <v>42411.30500497685</v>
      </c>
      <c r="M1" s="278"/>
      <c r="N1" s="278"/>
    </row>
    <row r="2" spans="1:14" ht="13.5" customHeight="1">
      <c r="A2" s="133"/>
      <c r="B2" s="133"/>
      <c r="C2" s="9"/>
      <c r="D2" s="9"/>
      <c r="E2" s="3"/>
      <c r="F2" s="133"/>
      <c r="G2" s="133"/>
      <c r="H2" s="133"/>
      <c r="I2" s="133"/>
      <c r="J2" s="32" t="str">
        <f>'勤務報告書(上)'!J2</f>
        <v>（平成28年1月上期分）</v>
      </c>
      <c r="K2" s="12"/>
      <c r="L2" s="12"/>
      <c r="M2" s="12"/>
      <c r="N2" s="10"/>
    </row>
    <row r="3" spans="1:14" ht="13.5" customHeight="1">
      <c r="A3" s="133"/>
      <c r="B3" s="4"/>
      <c r="C3" s="4"/>
      <c r="D3" s="4"/>
      <c r="E3" s="1"/>
      <c r="F3" s="133"/>
      <c r="G3" s="133"/>
      <c r="H3" s="133"/>
      <c r="I3" s="133"/>
      <c r="J3" s="133"/>
      <c r="K3" s="133"/>
      <c r="L3" s="133"/>
      <c r="M3" s="133"/>
      <c r="N3" s="4"/>
    </row>
    <row r="4" spans="1:14" ht="27.75" customHeight="1">
      <c r="A4" s="5"/>
      <c r="B4" s="15" t="s">
        <v>14</v>
      </c>
      <c r="C4" s="296" t="str">
        <f>'勤務報告書(上)'!C4</f>
        <v>システム部</v>
      </c>
      <c r="D4" s="297"/>
      <c r="E4" s="15" t="s">
        <v>129</v>
      </c>
      <c r="F4" s="296" t="str">
        <f>'勤務報告書(上)'!F4</f>
        <v>一般</v>
      </c>
      <c r="G4" s="297"/>
      <c r="H4" s="296" t="s">
        <v>16</v>
      </c>
      <c r="I4" s="297"/>
      <c r="J4" s="268" t="str">
        <f>'勤務報告書(上)'!I4&amp;"　　印　"</f>
        <v>　　印　</v>
      </c>
      <c r="K4" s="15" t="s">
        <v>17</v>
      </c>
      <c r="L4" s="16">
        <f>'勤務報告書(上)'!M4</f>
        <v>42403</v>
      </c>
      <c r="M4" s="17" t="s">
        <v>18</v>
      </c>
      <c r="N4" s="14"/>
    </row>
    <row r="5" spans="1:14" ht="13.5" customHeight="1">
      <c r="A5" s="133"/>
      <c r="B5" s="18" t="s">
        <v>0</v>
      </c>
      <c r="C5" s="19" t="s">
        <v>4</v>
      </c>
      <c r="D5" s="20" t="s">
        <v>19</v>
      </c>
      <c r="E5" s="21" t="s">
        <v>5</v>
      </c>
      <c r="F5" s="23" t="s">
        <v>9</v>
      </c>
      <c r="G5" s="24"/>
      <c r="H5" s="24"/>
      <c r="I5" s="24"/>
      <c r="J5" s="301" t="s">
        <v>109</v>
      </c>
      <c r="K5" s="302"/>
      <c r="L5" s="303"/>
      <c r="M5" s="307" t="s">
        <v>11</v>
      </c>
      <c r="N5" s="297"/>
    </row>
    <row r="6" spans="1:14" ht="13.5" customHeight="1">
      <c r="A6" s="1"/>
      <c r="B6" s="25" t="s">
        <v>1</v>
      </c>
      <c r="C6" s="121" t="s">
        <v>118</v>
      </c>
      <c r="D6" s="141" t="s">
        <v>19</v>
      </c>
      <c r="E6" s="142" t="s">
        <v>119</v>
      </c>
      <c r="F6" s="29" t="s">
        <v>10</v>
      </c>
      <c r="G6" s="30"/>
      <c r="H6" s="30"/>
      <c r="I6" s="30"/>
      <c r="J6" s="304"/>
      <c r="K6" s="305"/>
      <c r="L6" s="306"/>
      <c r="M6" s="31" t="s">
        <v>12</v>
      </c>
      <c r="N6" s="31" t="s">
        <v>110</v>
      </c>
    </row>
    <row r="7" spans="1:14" ht="13.5" customHeight="1">
      <c r="A7" s="133"/>
      <c r="B7" s="140" t="s">
        <v>349</v>
      </c>
      <c r="C7" s="90" t="s">
        <v>117</v>
      </c>
      <c r="D7" s="86"/>
      <c r="E7" s="86"/>
      <c r="F7" s="97"/>
      <c r="G7" s="81"/>
      <c r="H7" s="60" t="str">
        <f>IF('勤務報告書(上)'!I7&lt;&gt;0,'勤務報告書(上)'!I7,"- ")</f>
        <v xml:space="preserve">- </v>
      </c>
      <c r="I7" s="76" t="s">
        <v>96</v>
      </c>
      <c r="J7" s="300"/>
      <c r="K7" s="282"/>
      <c r="L7" s="283"/>
      <c r="M7" s="95"/>
      <c r="N7" s="6"/>
    </row>
    <row r="8" spans="1:14" ht="13.5" customHeight="1">
      <c r="A8" s="133"/>
      <c r="B8" s="68">
        <v>42359</v>
      </c>
      <c r="C8" s="79" t="str">
        <f>IF('勤務報告書(上)'!C8&lt;&gt;"",'勤務報告書(上)'!C8,"")</f>
        <v/>
      </c>
      <c r="D8" s="78" t="s">
        <v>95</v>
      </c>
      <c r="E8" s="80" t="str">
        <f>IF('勤務報告書(上)'!E8&lt;&gt;"",'勤務報告書(上)'!E8,"")</f>
        <v/>
      </c>
      <c r="F8" s="63"/>
      <c r="G8" s="60"/>
      <c r="H8" s="60" t="str">
        <f>IF('勤務報告書(上)'!I8&lt;&gt;0,'勤務報告書(上)'!I8,"- ")</f>
        <v xml:space="preserve">- </v>
      </c>
      <c r="I8" s="76" t="s">
        <v>96</v>
      </c>
      <c r="J8" s="284"/>
      <c r="K8" s="285"/>
      <c r="L8" s="286"/>
      <c r="M8" s="95"/>
      <c r="N8" s="6"/>
    </row>
    <row r="9" spans="1:14" ht="13.5" customHeight="1">
      <c r="A9" s="133"/>
      <c r="B9" s="69" t="s">
        <v>99</v>
      </c>
      <c r="C9" s="91" t="str">
        <f>IF('勤務報告書(上)'!U8&lt;&gt;0,'勤務報告書(上)'!V8,"")</f>
        <v/>
      </c>
      <c r="D9" s="92" t="s">
        <v>95</v>
      </c>
      <c r="E9" s="93" t="str">
        <f>IF('勤務報告書(上)'!U8&lt;&gt;0,'勤務報告書(上)'!W8,"")</f>
        <v/>
      </c>
      <c r="F9" s="77" t="str">
        <f>'勤務報告書(上)'!G9</f>
        <v/>
      </c>
      <c r="G9" s="82" t="str">
        <f>'勤務報告書(上)'!H9</f>
        <v/>
      </c>
      <c r="H9" s="61" t="str">
        <f>IF('勤務報告書(上)'!I9&lt;&gt;0,'勤務報告書(上)'!I9,"- ")</f>
        <v/>
      </c>
      <c r="I9" s="98" t="str">
        <f>'勤務報告書(上)'!J9</f>
        <v/>
      </c>
      <c r="J9" s="287"/>
      <c r="K9" s="288"/>
      <c r="L9" s="289"/>
      <c r="M9" s="96"/>
      <c r="N9" s="7"/>
    </row>
    <row r="10" spans="1:14" ht="13.5" customHeight="1">
      <c r="A10" s="133"/>
      <c r="B10" s="66"/>
      <c r="C10" s="90" t="s">
        <v>117</v>
      </c>
      <c r="D10" s="86"/>
      <c r="E10" s="86"/>
      <c r="F10" s="97"/>
      <c r="G10" s="81"/>
      <c r="H10" s="60" t="str">
        <f>IF('勤務報告書(上)'!I10&lt;&gt;0,'勤務報告書(上)'!I10,"- ")</f>
        <v xml:space="preserve">- </v>
      </c>
      <c r="I10" s="76" t="s">
        <v>96</v>
      </c>
      <c r="J10" s="300"/>
      <c r="K10" s="282"/>
      <c r="L10" s="283"/>
      <c r="M10" s="94"/>
      <c r="N10" s="8"/>
    </row>
    <row r="11" spans="1:14" ht="13.5" customHeight="1">
      <c r="A11" s="133"/>
      <c r="B11" s="68">
        <v>42360</v>
      </c>
      <c r="C11" s="79" t="str">
        <f>IF('勤務報告書(上)'!C11&lt;&gt;"",'勤務報告書(上)'!C11,"")</f>
        <v/>
      </c>
      <c r="D11" s="78" t="s">
        <v>95</v>
      </c>
      <c r="E11" s="80" t="str">
        <f>IF('勤務報告書(上)'!E11&lt;&gt;"",'勤務報告書(上)'!E11,"")</f>
        <v/>
      </c>
      <c r="F11" s="63"/>
      <c r="G11" s="60"/>
      <c r="H11" s="60" t="str">
        <f>IF('勤務報告書(上)'!I11&lt;&gt;0,'勤務報告書(上)'!I11,"- ")</f>
        <v xml:space="preserve">- </v>
      </c>
      <c r="I11" s="76" t="s">
        <v>96</v>
      </c>
      <c r="J11" s="284"/>
      <c r="K11" s="285"/>
      <c r="L11" s="286"/>
      <c r="M11" s="95"/>
      <c r="N11" s="6"/>
    </row>
    <row r="12" spans="1:14" ht="13.5" customHeight="1">
      <c r="A12" s="133"/>
      <c r="B12" s="69" t="s">
        <v>100</v>
      </c>
      <c r="C12" s="91" t="str">
        <f>IF('勤務報告書(上)'!U11&lt;&gt;0,'勤務報告書(上)'!V11,"")</f>
        <v/>
      </c>
      <c r="D12" s="92" t="s">
        <v>95</v>
      </c>
      <c r="E12" s="93" t="str">
        <f>IF('勤務報告書(上)'!U11&lt;&gt;0,'勤務報告書(上)'!W11,"")</f>
        <v/>
      </c>
      <c r="F12" s="77" t="str">
        <f>'勤務報告書(上)'!G12</f>
        <v/>
      </c>
      <c r="G12" s="82" t="str">
        <f>'勤務報告書(上)'!H12</f>
        <v/>
      </c>
      <c r="H12" s="61" t="str">
        <f>IF('勤務報告書(上)'!I12&lt;&gt;0,'勤務報告書(上)'!I12,"- ")</f>
        <v/>
      </c>
      <c r="I12" s="98" t="str">
        <f>'勤務報告書(上)'!J12</f>
        <v/>
      </c>
      <c r="J12" s="287"/>
      <c r="K12" s="288"/>
      <c r="L12" s="289"/>
      <c r="M12" s="96"/>
      <c r="N12" s="7"/>
    </row>
    <row r="13" spans="1:14" ht="13.5" customHeight="1">
      <c r="A13" s="133"/>
      <c r="B13" s="72"/>
      <c r="C13" s="273" t="s">
        <v>357</v>
      </c>
      <c r="D13" s="86"/>
      <c r="E13" s="86"/>
      <c r="F13" s="97"/>
      <c r="G13" s="81"/>
      <c r="H13" s="60" t="str">
        <f>IF('勤務報告書(上)'!I13&lt;&gt;0,'勤務報告書(上)'!I13,"- ")</f>
        <v xml:space="preserve">- </v>
      </c>
      <c r="I13" s="76" t="s">
        <v>96</v>
      </c>
      <c r="J13" s="300"/>
      <c r="K13" s="282"/>
      <c r="L13" s="283"/>
      <c r="M13" s="94"/>
      <c r="N13" s="8"/>
    </row>
    <row r="14" spans="1:14" ht="13.5" customHeight="1">
      <c r="A14" s="133"/>
      <c r="B14" s="68">
        <v>42361</v>
      </c>
      <c r="C14" s="79" t="str">
        <f>IF('勤務報告書(上)'!C14&lt;&gt;"",'勤務報告書(上)'!C14,"")</f>
        <v/>
      </c>
      <c r="D14" s="78" t="s">
        <v>95</v>
      </c>
      <c r="E14" s="80" t="str">
        <f>IF('勤務報告書(上)'!E14&lt;&gt;"",'勤務報告書(上)'!E14,"")</f>
        <v/>
      </c>
      <c r="F14" s="63"/>
      <c r="G14" s="60"/>
      <c r="H14" s="60" t="str">
        <f>IF('勤務報告書(上)'!I14&lt;&gt;0,'勤務報告書(上)'!I14,"- ")</f>
        <v xml:space="preserve">- </v>
      </c>
      <c r="I14" s="76" t="s">
        <v>96</v>
      </c>
      <c r="J14" s="284"/>
      <c r="K14" s="285"/>
      <c r="L14" s="286"/>
      <c r="M14" s="95"/>
      <c r="N14" s="6"/>
    </row>
    <row r="15" spans="1:14" ht="13.5" customHeight="1">
      <c r="A15" s="133"/>
      <c r="B15" s="73" t="s">
        <v>101</v>
      </c>
      <c r="C15" s="91" t="str">
        <f>IF('勤務報告書(上)'!U14&lt;&gt;0,'勤務報告書(上)'!V14,"")</f>
        <v/>
      </c>
      <c r="D15" s="92" t="s">
        <v>95</v>
      </c>
      <c r="E15" s="93" t="str">
        <f>IF('勤務報告書(上)'!U14&lt;&gt;0,'勤務報告書(上)'!W14,"")</f>
        <v/>
      </c>
      <c r="F15" s="77" t="str">
        <f>'勤務報告書(上)'!G15</f>
        <v/>
      </c>
      <c r="G15" s="82" t="str">
        <f>'勤務報告書(上)'!H15</f>
        <v/>
      </c>
      <c r="H15" s="61" t="str">
        <f>IF('勤務報告書(上)'!I15&lt;&gt;0,'勤務報告書(上)'!I15,"- ")</f>
        <v/>
      </c>
      <c r="I15" s="98" t="str">
        <f>'勤務報告書(上)'!J15</f>
        <v/>
      </c>
      <c r="J15" s="287"/>
      <c r="K15" s="288"/>
      <c r="L15" s="289"/>
      <c r="M15" s="96"/>
      <c r="N15" s="7"/>
    </row>
    <row r="16" spans="1:14" ht="13.5" customHeight="1">
      <c r="A16" s="133"/>
      <c r="B16" s="74"/>
      <c r="C16" s="90" t="s">
        <v>117</v>
      </c>
      <c r="D16" s="86"/>
      <c r="E16" s="86"/>
      <c r="F16" s="97"/>
      <c r="G16" s="81"/>
      <c r="H16" s="60" t="str">
        <f>IF('勤務報告書(上)'!I16&lt;&gt;0,'勤務報告書(上)'!I16,"- ")</f>
        <v xml:space="preserve">- </v>
      </c>
      <c r="I16" s="76" t="s">
        <v>96</v>
      </c>
      <c r="J16" s="300"/>
      <c r="K16" s="282"/>
      <c r="L16" s="283"/>
      <c r="M16" s="94"/>
      <c r="N16" s="8"/>
    </row>
    <row r="17" spans="1:14" ht="13.5" customHeight="1">
      <c r="A17" s="133"/>
      <c r="B17" s="68">
        <v>42362</v>
      </c>
      <c r="C17" s="79" t="str">
        <f>IF('勤務報告書(上)'!C17&lt;&gt;"",'勤務報告書(上)'!C17,"")</f>
        <v/>
      </c>
      <c r="D17" s="78" t="s">
        <v>95</v>
      </c>
      <c r="E17" s="80" t="str">
        <f>IF('勤務報告書(上)'!E17&lt;&gt;"",'勤務報告書(上)'!E17,"")</f>
        <v/>
      </c>
      <c r="F17" s="63"/>
      <c r="G17" s="60"/>
      <c r="H17" s="60" t="str">
        <f>IF('勤務報告書(上)'!I17&lt;&gt;0,'勤務報告書(上)'!I17,"- ")</f>
        <v xml:space="preserve">- </v>
      </c>
      <c r="I17" s="76" t="s">
        <v>96</v>
      </c>
      <c r="J17" s="284"/>
      <c r="K17" s="285"/>
      <c r="L17" s="286"/>
      <c r="M17" s="95"/>
      <c r="N17" s="6"/>
    </row>
    <row r="18" spans="1:14" ht="13.5" customHeight="1">
      <c r="A18" s="133"/>
      <c r="B18" s="69" t="s">
        <v>102</v>
      </c>
      <c r="C18" s="91" t="str">
        <f>IF('勤務報告書(上)'!U17&lt;&gt;0,'勤務報告書(上)'!V17,"")</f>
        <v/>
      </c>
      <c r="D18" s="92" t="s">
        <v>95</v>
      </c>
      <c r="E18" s="93" t="str">
        <f>IF('勤務報告書(上)'!U17&lt;&gt;0,'勤務報告書(上)'!W17,"")</f>
        <v/>
      </c>
      <c r="F18" s="77" t="str">
        <f>'勤務報告書(上)'!G18</f>
        <v/>
      </c>
      <c r="G18" s="82" t="str">
        <f>'勤務報告書(上)'!H18</f>
        <v/>
      </c>
      <c r="H18" s="61" t="str">
        <f>IF('勤務報告書(上)'!I18&lt;&gt;0,'勤務報告書(上)'!I18,"- ")</f>
        <v/>
      </c>
      <c r="I18" s="98" t="str">
        <f>'勤務報告書(上)'!J18</f>
        <v/>
      </c>
      <c r="J18" s="287"/>
      <c r="K18" s="288"/>
      <c r="L18" s="289"/>
      <c r="M18" s="96"/>
      <c r="N18" s="7"/>
    </row>
    <row r="19" spans="1:14" ht="13.5" customHeight="1">
      <c r="A19" s="133"/>
      <c r="B19" s="70"/>
      <c r="C19" s="90" t="s">
        <v>117</v>
      </c>
      <c r="D19" s="86"/>
      <c r="E19" s="86"/>
      <c r="F19" s="97"/>
      <c r="G19" s="81"/>
      <c r="H19" s="60" t="str">
        <f>IF('勤務報告書(上)'!I19&lt;&gt;0,'勤務報告書(上)'!I19,"- ")</f>
        <v xml:space="preserve">- </v>
      </c>
      <c r="I19" s="76" t="s">
        <v>96</v>
      </c>
      <c r="J19" s="300"/>
      <c r="K19" s="282"/>
      <c r="L19" s="283"/>
      <c r="M19" s="94"/>
      <c r="N19" s="8"/>
    </row>
    <row r="20" spans="1:14" ht="13.5" customHeight="1">
      <c r="A20" s="133"/>
      <c r="B20" s="68">
        <v>42363</v>
      </c>
      <c r="C20" s="79" t="str">
        <f>IF('勤務報告書(上)'!C20&lt;&gt;"",'勤務報告書(上)'!C20,"")</f>
        <v/>
      </c>
      <c r="D20" s="78" t="s">
        <v>95</v>
      </c>
      <c r="E20" s="80" t="str">
        <f>IF('勤務報告書(上)'!E20&lt;&gt;"",'勤務報告書(上)'!E20,"")</f>
        <v/>
      </c>
      <c r="F20" s="63"/>
      <c r="G20" s="60"/>
      <c r="H20" s="60" t="str">
        <f>IF('勤務報告書(上)'!I20&lt;&gt;0,'勤務報告書(上)'!I20,"- ")</f>
        <v xml:space="preserve">- </v>
      </c>
      <c r="I20" s="76" t="s">
        <v>96</v>
      </c>
      <c r="J20" s="284"/>
      <c r="K20" s="285"/>
      <c r="L20" s="286"/>
      <c r="M20" s="95"/>
      <c r="N20" s="6"/>
    </row>
    <row r="21" spans="1:14" ht="13.5" customHeight="1">
      <c r="A21" s="133"/>
      <c r="B21" s="69" t="s">
        <v>103</v>
      </c>
      <c r="C21" s="91" t="str">
        <f>IF('勤務報告書(上)'!U20&lt;&gt;0,'勤務報告書(上)'!V20,"")</f>
        <v/>
      </c>
      <c r="D21" s="92" t="s">
        <v>95</v>
      </c>
      <c r="E21" s="93" t="str">
        <f>IF('勤務報告書(上)'!U20&lt;&gt;0,'勤務報告書(上)'!W20,"")</f>
        <v/>
      </c>
      <c r="F21" s="77" t="str">
        <f>'勤務報告書(上)'!G21</f>
        <v/>
      </c>
      <c r="G21" s="82" t="str">
        <f>'勤務報告書(上)'!H21</f>
        <v/>
      </c>
      <c r="H21" s="61" t="str">
        <f>IF('勤務報告書(上)'!I21&lt;&gt;0,'勤務報告書(上)'!I21,"- ")</f>
        <v/>
      </c>
      <c r="I21" s="98" t="str">
        <f>'勤務報告書(上)'!J21</f>
        <v/>
      </c>
      <c r="J21" s="287"/>
      <c r="K21" s="288"/>
      <c r="L21" s="289"/>
      <c r="M21" s="96"/>
      <c r="N21" s="7"/>
    </row>
    <row r="22" spans="1:14" ht="13.5" customHeight="1">
      <c r="A22" s="133"/>
      <c r="B22" s="70"/>
      <c r="C22" s="90" t="s">
        <v>117</v>
      </c>
      <c r="D22" s="86"/>
      <c r="E22" s="86"/>
      <c r="F22" s="97"/>
      <c r="G22" s="81"/>
      <c r="H22" s="60" t="str">
        <f>IF('勤務報告書(上)'!I22&lt;&gt;0,'勤務報告書(上)'!I22,"- ")</f>
        <v xml:space="preserve">- </v>
      </c>
      <c r="I22" s="76" t="s">
        <v>96</v>
      </c>
      <c r="J22" s="300"/>
      <c r="K22" s="282"/>
      <c r="L22" s="283"/>
      <c r="M22" s="94"/>
      <c r="N22" s="8"/>
    </row>
    <row r="23" spans="1:14" ht="13.5" customHeight="1">
      <c r="A23" s="133"/>
      <c r="B23" s="68">
        <v>42364</v>
      </c>
      <c r="C23" s="79" t="str">
        <f>IF('勤務報告書(上)'!C23&lt;&gt;"",'勤務報告書(上)'!C23,"")</f>
        <v/>
      </c>
      <c r="D23" s="78" t="s">
        <v>95</v>
      </c>
      <c r="E23" s="80" t="str">
        <f>IF('勤務報告書(上)'!E23&lt;&gt;"",'勤務報告書(上)'!E23,"")</f>
        <v/>
      </c>
      <c r="F23" s="63"/>
      <c r="G23" s="60"/>
      <c r="H23" s="60" t="str">
        <f>IF('勤務報告書(上)'!I23&lt;&gt;0,'勤務報告書(上)'!I23,"- ")</f>
        <v xml:space="preserve">- </v>
      </c>
      <c r="I23" s="76" t="s">
        <v>96</v>
      </c>
      <c r="J23" s="284"/>
      <c r="K23" s="285"/>
      <c r="L23" s="286"/>
      <c r="M23" s="95"/>
      <c r="N23" s="6"/>
    </row>
    <row r="24" spans="1:14" ht="13.5" customHeight="1">
      <c r="A24" s="133"/>
      <c r="B24" s="71" t="s">
        <v>97</v>
      </c>
      <c r="C24" s="91" t="str">
        <f>IF('勤務報告書(上)'!U23&lt;&gt;0,'勤務報告書(上)'!V23,"")</f>
        <v/>
      </c>
      <c r="D24" s="92" t="s">
        <v>95</v>
      </c>
      <c r="E24" s="93" t="str">
        <f>IF('勤務報告書(上)'!U23&lt;&gt;0,'勤務報告書(上)'!W23,"")</f>
        <v/>
      </c>
      <c r="F24" s="77" t="str">
        <f>'勤務報告書(上)'!G24</f>
        <v/>
      </c>
      <c r="G24" s="82" t="str">
        <f>'勤務報告書(上)'!H24</f>
        <v/>
      </c>
      <c r="H24" s="61" t="str">
        <f>IF('勤務報告書(上)'!I24&lt;&gt;0,'勤務報告書(上)'!I24,"- ")</f>
        <v/>
      </c>
      <c r="I24" s="98" t="str">
        <f>'勤務報告書(上)'!J24</f>
        <v/>
      </c>
      <c r="J24" s="287"/>
      <c r="K24" s="288"/>
      <c r="L24" s="289"/>
      <c r="M24" s="96"/>
      <c r="N24" s="7"/>
    </row>
    <row r="25" spans="1:14" ht="13.5" customHeight="1">
      <c r="A25" s="133"/>
      <c r="B25" s="70"/>
      <c r="C25" s="90" t="s">
        <v>117</v>
      </c>
      <c r="D25" s="86"/>
      <c r="E25" s="86"/>
      <c r="F25" s="97"/>
      <c r="G25" s="81"/>
      <c r="H25" s="60" t="str">
        <f>IF('勤務報告書(上)'!I25&lt;&gt;0,'勤務報告書(上)'!I25,"- ")</f>
        <v xml:space="preserve">- </v>
      </c>
      <c r="I25" s="76" t="s">
        <v>96</v>
      </c>
      <c r="J25" s="300"/>
      <c r="K25" s="282"/>
      <c r="L25" s="283"/>
      <c r="M25" s="94"/>
      <c r="N25" s="8"/>
    </row>
    <row r="26" spans="1:14" ht="13.5" customHeight="1">
      <c r="A26" s="133"/>
      <c r="B26" s="68">
        <v>42365</v>
      </c>
      <c r="C26" s="79" t="str">
        <f>IF('勤務報告書(上)'!C26&lt;&gt;"",'勤務報告書(上)'!C26,"")</f>
        <v/>
      </c>
      <c r="D26" s="78" t="s">
        <v>95</v>
      </c>
      <c r="E26" s="80" t="str">
        <f>IF('勤務報告書(上)'!E26&lt;&gt;"",'勤務報告書(上)'!E26,"")</f>
        <v/>
      </c>
      <c r="F26" s="63"/>
      <c r="G26" s="60"/>
      <c r="H26" s="60" t="str">
        <f>IF('勤務報告書(上)'!I26&lt;&gt;0,'勤務報告書(上)'!I26,"- ")</f>
        <v xml:space="preserve">- </v>
      </c>
      <c r="I26" s="76" t="s">
        <v>96</v>
      </c>
      <c r="J26" s="284"/>
      <c r="K26" s="285"/>
      <c r="L26" s="286"/>
      <c r="M26" s="95"/>
      <c r="N26" s="6"/>
    </row>
    <row r="27" spans="1:14" ht="13.5" customHeight="1">
      <c r="A27" s="133"/>
      <c r="B27" s="73" t="s">
        <v>98</v>
      </c>
      <c r="C27" s="91" t="str">
        <f>IF('勤務報告書(上)'!U26&lt;&gt;0,'勤務報告書(上)'!V26,"")</f>
        <v/>
      </c>
      <c r="D27" s="92" t="s">
        <v>95</v>
      </c>
      <c r="E27" s="93" t="str">
        <f>IF('勤務報告書(上)'!U26&lt;&gt;0,'勤務報告書(上)'!W26,"")</f>
        <v/>
      </c>
      <c r="F27" s="77" t="str">
        <f>'勤務報告書(上)'!G27</f>
        <v/>
      </c>
      <c r="G27" s="82" t="str">
        <f>'勤務報告書(上)'!H27</f>
        <v/>
      </c>
      <c r="H27" s="61" t="str">
        <f>IF('勤務報告書(上)'!I27&lt;&gt;0,'勤務報告書(上)'!I27,"- ")</f>
        <v/>
      </c>
      <c r="I27" s="98" t="str">
        <f>'勤務報告書(上)'!J27</f>
        <v/>
      </c>
      <c r="J27" s="287"/>
      <c r="K27" s="288"/>
      <c r="L27" s="289"/>
      <c r="M27" s="96"/>
      <c r="N27" s="7"/>
    </row>
    <row r="28" spans="1:14" ht="13.5" customHeight="1">
      <c r="A28" s="133"/>
      <c r="B28" s="70"/>
      <c r="C28" s="90" t="s">
        <v>117</v>
      </c>
      <c r="D28" s="86"/>
      <c r="E28" s="86"/>
      <c r="F28" s="97"/>
      <c r="G28" s="81"/>
      <c r="H28" s="60" t="str">
        <f>IF('勤務報告書(上)'!I28&lt;&gt;0,'勤務報告書(上)'!I28,"- ")</f>
        <v xml:space="preserve">- </v>
      </c>
      <c r="I28" s="76" t="s">
        <v>96</v>
      </c>
      <c r="J28" s="300"/>
      <c r="K28" s="282"/>
      <c r="L28" s="283"/>
      <c r="M28" s="94"/>
      <c r="N28" s="8"/>
    </row>
    <row r="29" spans="1:14" ht="13.5" customHeight="1">
      <c r="A29" s="133"/>
      <c r="B29" s="68">
        <v>42366</v>
      </c>
      <c r="C29" s="79" t="str">
        <f>IF('勤務報告書(上)'!C29&lt;&gt;"",'勤務報告書(上)'!C29,"")</f>
        <v/>
      </c>
      <c r="D29" s="78" t="s">
        <v>95</v>
      </c>
      <c r="E29" s="80" t="str">
        <f>IF('勤務報告書(上)'!E29&lt;&gt;"",'勤務報告書(上)'!E29,"")</f>
        <v/>
      </c>
      <c r="F29" s="63"/>
      <c r="G29" s="60"/>
      <c r="H29" s="60" t="str">
        <f>IF('勤務報告書(上)'!I29&lt;&gt;0,'勤務報告書(上)'!I29,"- ")</f>
        <v xml:space="preserve">- </v>
      </c>
      <c r="I29" s="76" t="s">
        <v>96</v>
      </c>
      <c r="J29" s="284"/>
      <c r="K29" s="285"/>
      <c r="L29" s="286"/>
      <c r="M29" s="95"/>
      <c r="N29" s="6"/>
    </row>
    <row r="30" spans="1:14" ht="13.5" customHeight="1">
      <c r="A30" s="133"/>
      <c r="B30" s="69" t="s">
        <v>99</v>
      </c>
      <c r="C30" s="91" t="str">
        <f>IF('勤務報告書(上)'!U29&lt;&gt;0,'勤務報告書(上)'!V29,"")</f>
        <v/>
      </c>
      <c r="D30" s="92" t="s">
        <v>95</v>
      </c>
      <c r="E30" s="93" t="str">
        <f>IF('勤務報告書(上)'!U29&lt;&gt;0,'勤務報告書(上)'!W29,"")</f>
        <v/>
      </c>
      <c r="F30" s="77" t="str">
        <f>'勤務報告書(上)'!G30</f>
        <v/>
      </c>
      <c r="G30" s="82" t="str">
        <f>'勤務報告書(上)'!H30</f>
        <v/>
      </c>
      <c r="H30" s="61" t="str">
        <f>IF('勤務報告書(上)'!I30&lt;&gt;0,'勤務報告書(上)'!I30,"- ")</f>
        <v/>
      </c>
      <c r="I30" s="98" t="str">
        <f>'勤務報告書(上)'!J30</f>
        <v/>
      </c>
      <c r="J30" s="287"/>
      <c r="K30" s="288"/>
      <c r="L30" s="289"/>
      <c r="M30" s="96"/>
      <c r="N30" s="7"/>
    </row>
    <row r="31" spans="1:14" ht="13.5" customHeight="1">
      <c r="A31" s="133"/>
      <c r="B31" s="70"/>
      <c r="C31" s="90" t="s">
        <v>117</v>
      </c>
      <c r="D31" s="86"/>
      <c r="E31" s="86"/>
      <c r="F31" s="97"/>
      <c r="G31" s="81"/>
      <c r="H31" s="60" t="str">
        <f>IF('勤務報告書(上)'!I31&lt;&gt;0,'勤務報告書(上)'!I31,"- ")</f>
        <v xml:space="preserve">- </v>
      </c>
      <c r="I31" s="76" t="s">
        <v>96</v>
      </c>
      <c r="J31" s="300"/>
      <c r="K31" s="282"/>
      <c r="L31" s="283"/>
      <c r="M31" s="94"/>
      <c r="N31" s="8"/>
    </row>
    <row r="32" spans="1:14" ht="13.5" customHeight="1">
      <c r="A32" s="133"/>
      <c r="B32" s="68">
        <v>42367</v>
      </c>
      <c r="C32" s="79" t="str">
        <f>IF('勤務報告書(上)'!C32&lt;&gt;"",'勤務報告書(上)'!C32,"")</f>
        <v/>
      </c>
      <c r="D32" s="78" t="s">
        <v>95</v>
      </c>
      <c r="E32" s="80" t="str">
        <f>IF('勤務報告書(上)'!E32&lt;&gt;"",'勤務報告書(上)'!E32,"")</f>
        <v/>
      </c>
      <c r="F32" s="63"/>
      <c r="G32" s="60"/>
      <c r="H32" s="60" t="str">
        <f>IF('勤務報告書(上)'!I32&lt;&gt;0,'勤務報告書(上)'!I32,"- ")</f>
        <v xml:space="preserve">- </v>
      </c>
      <c r="I32" s="76" t="s">
        <v>96</v>
      </c>
      <c r="J32" s="284"/>
      <c r="K32" s="285"/>
      <c r="L32" s="286"/>
      <c r="M32" s="95"/>
      <c r="N32" s="6"/>
    </row>
    <row r="33" spans="1:14" ht="13.5" customHeight="1">
      <c r="A33" s="133"/>
      <c r="B33" s="69" t="s">
        <v>100</v>
      </c>
      <c r="C33" s="91" t="str">
        <f>IF('勤務報告書(上)'!U32&lt;&gt;0,'勤務報告書(上)'!V32,"")</f>
        <v/>
      </c>
      <c r="D33" s="92" t="s">
        <v>95</v>
      </c>
      <c r="E33" s="93" t="str">
        <f>IF('勤務報告書(上)'!U32&lt;&gt;0,'勤務報告書(上)'!W32,"")</f>
        <v/>
      </c>
      <c r="F33" s="77" t="str">
        <f>'勤務報告書(上)'!G33</f>
        <v/>
      </c>
      <c r="G33" s="82" t="str">
        <f>'勤務報告書(上)'!H33</f>
        <v/>
      </c>
      <c r="H33" s="61" t="str">
        <f>IF('勤務報告書(上)'!I33&lt;&gt;0,'勤務報告書(上)'!I33,"- ")</f>
        <v/>
      </c>
      <c r="I33" s="98" t="str">
        <f>'勤務報告書(上)'!J33</f>
        <v/>
      </c>
      <c r="J33" s="287"/>
      <c r="K33" s="288"/>
      <c r="L33" s="289"/>
      <c r="M33" s="96"/>
      <c r="N33" s="7"/>
    </row>
    <row r="34" spans="1:14" ht="13.5" customHeight="1">
      <c r="A34" s="133"/>
      <c r="B34" s="72"/>
      <c r="C34" s="273" t="s">
        <v>358</v>
      </c>
      <c r="D34" s="86"/>
      <c r="E34" s="86"/>
      <c r="F34" s="97"/>
      <c r="G34" s="81"/>
      <c r="H34" s="60" t="str">
        <f>IF('勤務報告書(上)'!I34&lt;&gt;0,'勤務報告書(上)'!I34,"- ")</f>
        <v xml:space="preserve">- </v>
      </c>
      <c r="I34" s="76" t="s">
        <v>96</v>
      </c>
      <c r="J34" s="300"/>
      <c r="K34" s="282"/>
      <c r="L34" s="283"/>
      <c r="M34" s="94"/>
      <c r="N34" s="8"/>
    </row>
    <row r="35" spans="1:14" ht="13.5" customHeight="1">
      <c r="A35" s="133"/>
      <c r="B35" s="75">
        <v>42368</v>
      </c>
      <c r="C35" s="79" t="str">
        <f>IF('勤務報告書(上)'!C35&lt;&gt;"",'勤務報告書(上)'!C35,"")</f>
        <v/>
      </c>
      <c r="D35" s="78" t="s">
        <v>95</v>
      </c>
      <c r="E35" s="80" t="str">
        <f>IF('勤務報告書(上)'!E35&lt;&gt;"",'勤務報告書(上)'!E35,"")</f>
        <v/>
      </c>
      <c r="F35" s="63"/>
      <c r="G35" s="60"/>
      <c r="H35" s="60" t="str">
        <f>IF('勤務報告書(上)'!I35&lt;&gt;0,'勤務報告書(上)'!I35,"- ")</f>
        <v xml:space="preserve">- </v>
      </c>
      <c r="I35" s="76" t="s">
        <v>96</v>
      </c>
      <c r="J35" s="284"/>
      <c r="K35" s="285"/>
      <c r="L35" s="286"/>
      <c r="M35" s="95"/>
      <c r="N35" s="6"/>
    </row>
    <row r="36" spans="1:14" ht="13.5" customHeight="1">
      <c r="A36" s="133"/>
      <c r="B36" s="73" t="s">
        <v>101</v>
      </c>
      <c r="C36" s="91" t="str">
        <f>IF('勤務報告書(上)'!U35&lt;&gt;0,'勤務報告書(上)'!V35,"")</f>
        <v/>
      </c>
      <c r="D36" s="92" t="s">
        <v>95</v>
      </c>
      <c r="E36" s="93" t="str">
        <f>IF('勤務報告書(上)'!U35&lt;&gt;0,'勤務報告書(上)'!W35,"")</f>
        <v/>
      </c>
      <c r="F36" s="77" t="str">
        <f>'勤務報告書(上)'!G36</f>
        <v/>
      </c>
      <c r="G36" s="82" t="str">
        <f>'勤務報告書(上)'!H36</f>
        <v/>
      </c>
      <c r="H36" s="61" t="str">
        <f>IF('勤務報告書(上)'!I36&lt;&gt;0,'勤務報告書(上)'!I36,"- ")</f>
        <v/>
      </c>
      <c r="I36" s="98" t="str">
        <f>'勤務報告書(上)'!J36</f>
        <v/>
      </c>
      <c r="J36" s="287"/>
      <c r="K36" s="288"/>
      <c r="L36" s="289"/>
      <c r="M36" s="96"/>
      <c r="N36" s="7"/>
    </row>
    <row r="37" spans="1:14" ht="13.5" customHeight="1">
      <c r="A37" s="133"/>
      <c r="B37" s="74"/>
      <c r="C37" s="273" t="s">
        <v>358</v>
      </c>
      <c r="D37" s="86"/>
      <c r="E37" s="86"/>
      <c r="F37" s="97"/>
      <c r="G37" s="81"/>
      <c r="H37" s="60" t="str">
        <f>IF('勤務報告書(上)'!I37&lt;&gt;0,'勤務報告書(上)'!I37,"- ")</f>
        <v xml:space="preserve">- </v>
      </c>
      <c r="I37" s="76" t="s">
        <v>96</v>
      </c>
      <c r="J37" s="300"/>
      <c r="K37" s="282"/>
      <c r="L37" s="283"/>
      <c r="M37" s="94"/>
      <c r="N37" s="8"/>
    </row>
    <row r="38" spans="1:14" ht="13.5" customHeight="1">
      <c r="A38" s="133"/>
      <c r="B38" s="75">
        <v>42369</v>
      </c>
      <c r="C38" s="79" t="str">
        <f>IF('勤務報告書(上)'!C38&lt;&gt;"",'勤務報告書(上)'!C38,"")</f>
        <v/>
      </c>
      <c r="D38" s="78" t="s">
        <v>95</v>
      </c>
      <c r="E38" s="80" t="str">
        <f>IF('勤務報告書(上)'!E38&lt;&gt;"",'勤務報告書(上)'!E38,"")</f>
        <v/>
      </c>
      <c r="F38" s="63"/>
      <c r="G38" s="60"/>
      <c r="H38" s="60" t="str">
        <f>IF('勤務報告書(上)'!I38&lt;&gt;0,'勤務報告書(上)'!I38,"- ")</f>
        <v xml:space="preserve">- </v>
      </c>
      <c r="I38" s="76" t="s">
        <v>96</v>
      </c>
      <c r="J38" s="284"/>
      <c r="K38" s="285"/>
      <c r="L38" s="286"/>
      <c r="M38" s="95"/>
      <c r="N38" s="6"/>
    </row>
    <row r="39" spans="1:14" ht="13.5" customHeight="1">
      <c r="A39" s="133"/>
      <c r="B39" s="73" t="s">
        <v>102</v>
      </c>
      <c r="C39" s="91" t="str">
        <f>IF('勤務報告書(上)'!U38&lt;&gt;0,'勤務報告書(上)'!V38,"")</f>
        <v/>
      </c>
      <c r="D39" s="92" t="s">
        <v>95</v>
      </c>
      <c r="E39" s="93" t="str">
        <f>IF('勤務報告書(上)'!U38&lt;&gt;0,'勤務報告書(上)'!W38,"")</f>
        <v/>
      </c>
      <c r="F39" s="77" t="str">
        <f>'勤務報告書(上)'!G39</f>
        <v/>
      </c>
      <c r="G39" s="82" t="str">
        <f>'勤務報告書(上)'!H39</f>
        <v/>
      </c>
      <c r="H39" s="61" t="str">
        <f>IF('勤務報告書(上)'!I39&lt;&gt;0,'勤務報告書(上)'!I39,"- ")</f>
        <v/>
      </c>
      <c r="I39" s="98" t="str">
        <f>'勤務報告書(上)'!J39</f>
        <v/>
      </c>
      <c r="J39" s="287"/>
      <c r="K39" s="288"/>
      <c r="L39" s="289"/>
      <c r="M39" s="96"/>
      <c r="N39" s="7"/>
    </row>
    <row r="40" spans="1:14" ht="13.5" customHeight="1">
      <c r="A40" s="133"/>
      <c r="B40" s="74" t="s">
        <v>352</v>
      </c>
      <c r="C40" s="273" t="s">
        <v>359</v>
      </c>
      <c r="D40" s="86"/>
      <c r="E40" s="86"/>
      <c r="F40" s="97"/>
      <c r="G40" s="81"/>
      <c r="H40" s="60" t="str">
        <f>IF('勤務報告書(上)'!I40&lt;&gt;0,'勤務報告書(上)'!I40,"- ")</f>
        <v xml:space="preserve">- </v>
      </c>
      <c r="I40" s="76" t="s">
        <v>96</v>
      </c>
      <c r="J40" s="300"/>
      <c r="K40" s="282"/>
      <c r="L40" s="283"/>
      <c r="M40" s="94"/>
      <c r="N40" s="8"/>
    </row>
    <row r="41" spans="1:14" ht="13.5" customHeight="1">
      <c r="A41" s="133"/>
      <c r="B41" s="68">
        <v>42370</v>
      </c>
      <c r="C41" s="79" t="str">
        <f>IF('勤務報告書(上)'!C41&lt;&gt;"",'勤務報告書(上)'!C41,"")</f>
        <v/>
      </c>
      <c r="D41" s="78" t="s">
        <v>95</v>
      </c>
      <c r="E41" s="80" t="str">
        <f>IF('勤務報告書(上)'!E41&lt;&gt;"",'勤務報告書(上)'!E41,"")</f>
        <v/>
      </c>
      <c r="F41" s="63"/>
      <c r="G41" s="60"/>
      <c r="H41" s="60" t="str">
        <f>IF('勤務報告書(上)'!I41&lt;&gt;0,'勤務報告書(上)'!I41,"- ")</f>
        <v xml:space="preserve">- </v>
      </c>
      <c r="I41" s="76" t="s">
        <v>96</v>
      </c>
      <c r="J41" s="284"/>
      <c r="K41" s="285"/>
      <c r="L41" s="286"/>
      <c r="M41" s="95"/>
      <c r="N41" s="6"/>
    </row>
    <row r="42" spans="1:14" ht="13.5" customHeight="1">
      <c r="A42" s="133"/>
      <c r="B42" s="73" t="s">
        <v>103</v>
      </c>
      <c r="C42" s="91" t="str">
        <f>IF('勤務報告書(上)'!U41&lt;&gt;0,'勤務報告書(上)'!V41,"")</f>
        <v/>
      </c>
      <c r="D42" s="92" t="s">
        <v>95</v>
      </c>
      <c r="E42" s="93" t="str">
        <f>IF('勤務報告書(上)'!U41&lt;&gt;0,'勤務報告書(上)'!W41,"")</f>
        <v/>
      </c>
      <c r="F42" s="77" t="str">
        <f>'勤務報告書(上)'!G42</f>
        <v/>
      </c>
      <c r="G42" s="82" t="str">
        <f>'勤務報告書(上)'!H42</f>
        <v/>
      </c>
      <c r="H42" s="61" t="str">
        <f>IF('勤務報告書(上)'!I42&lt;&gt;0,'勤務報告書(上)'!I42,"- ")</f>
        <v/>
      </c>
      <c r="I42" s="98" t="str">
        <f>'勤務報告書(上)'!J42</f>
        <v/>
      </c>
      <c r="J42" s="287"/>
      <c r="K42" s="288"/>
      <c r="L42" s="289"/>
      <c r="M42" s="96"/>
      <c r="N42" s="7"/>
    </row>
    <row r="43" spans="1:14" ht="13.5" customHeight="1">
      <c r="A43" s="133"/>
      <c r="B43" s="70"/>
      <c r="C43" s="273" t="s">
        <v>360</v>
      </c>
      <c r="D43" s="86"/>
      <c r="E43" s="86"/>
      <c r="F43" s="97"/>
      <c r="G43" s="81"/>
      <c r="H43" s="60" t="str">
        <f>IF('勤務報告書(上)'!I43&lt;&gt;0,'勤務報告書(上)'!I43,"- ")</f>
        <v xml:space="preserve">- </v>
      </c>
      <c r="I43" s="76" t="s">
        <v>96</v>
      </c>
      <c r="J43" s="300"/>
      <c r="K43" s="282"/>
      <c r="L43" s="283"/>
      <c r="M43" s="94"/>
      <c r="N43" s="8"/>
    </row>
    <row r="44" spans="1:14" ht="13.5" customHeight="1">
      <c r="A44" s="133"/>
      <c r="B44" s="68">
        <v>42371</v>
      </c>
      <c r="C44" s="79" t="str">
        <f>IF('勤務報告書(上)'!C44&lt;&gt;"",'勤務報告書(上)'!C44,"")</f>
        <v/>
      </c>
      <c r="D44" s="78" t="s">
        <v>95</v>
      </c>
      <c r="E44" s="80" t="str">
        <f>IF('勤務報告書(上)'!E44&lt;&gt;"",'勤務報告書(上)'!E44,"")</f>
        <v/>
      </c>
      <c r="F44" s="63"/>
      <c r="G44" s="60"/>
      <c r="H44" s="60" t="str">
        <f>IF('勤務報告書(上)'!I44&lt;&gt;0,'勤務報告書(上)'!I44,"- ")</f>
        <v xml:space="preserve">- </v>
      </c>
      <c r="I44" s="76" t="s">
        <v>96</v>
      </c>
      <c r="J44" s="284"/>
      <c r="K44" s="285"/>
      <c r="L44" s="286"/>
      <c r="M44" s="95"/>
      <c r="N44" s="6"/>
    </row>
    <row r="45" spans="1:14" ht="13.5" customHeight="1">
      <c r="A45" s="133"/>
      <c r="B45" s="73" t="s">
        <v>97</v>
      </c>
      <c r="C45" s="91" t="str">
        <f>IF('勤務報告書(上)'!U44&lt;&gt;0,'勤務報告書(上)'!V44,"")</f>
        <v/>
      </c>
      <c r="D45" s="92" t="s">
        <v>95</v>
      </c>
      <c r="E45" s="93" t="str">
        <f>IF('勤務報告書(上)'!U44&lt;&gt;0,'勤務報告書(上)'!W44,"")</f>
        <v/>
      </c>
      <c r="F45" s="77" t="str">
        <f>'勤務報告書(上)'!G45</f>
        <v/>
      </c>
      <c r="G45" s="82" t="str">
        <f>'勤務報告書(上)'!H45</f>
        <v/>
      </c>
      <c r="H45" s="61" t="str">
        <f>IF('勤務報告書(上)'!I45&lt;&gt;0,'勤務報告書(上)'!I45,"- ")</f>
        <v/>
      </c>
      <c r="I45" s="98" t="str">
        <f>'勤務報告書(上)'!J45</f>
        <v/>
      </c>
      <c r="J45" s="287"/>
      <c r="K45" s="288"/>
      <c r="L45" s="289"/>
      <c r="M45" s="96"/>
      <c r="N45" s="7"/>
    </row>
    <row r="46" spans="1:14" ht="13.5" customHeight="1">
      <c r="A46" s="133"/>
      <c r="B46" s="70"/>
      <c r="C46" s="273" t="s">
        <v>360</v>
      </c>
      <c r="D46" s="86"/>
      <c r="E46" s="86"/>
      <c r="F46" s="97"/>
      <c r="G46" s="81"/>
      <c r="H46" s="60" t="str">
        <f>IF('勤務報告書(上)'!I46&lt;&gt;0,'勤務報告書(上)'!I46,"- ")</f>
        <v xml:space="preserve">- </v>
      </c>
      <c r="I46" s="76" t="s">
        <v>96</v>
      </c>
      <c r="J46" s="300"/>
      <c r="K46" s="282"/>
      <c r="L46" s="283"/>
      <c r="M46" s="94"/>
      <c r="N46" s="8"/>
    </row>
    <row r="47" spans="1:14" ht="13.5" customHeight="1">
      <c r="A47" s="133"/>
      <c r="B47" s="68">
        <v>42372</v>
      </c>
      <c r="C47" s="79" t="str">
        <f>IF('勤務報告書(上)'!C47&lt;&gt;"",'勤務報告書(上)'!C47,"")</f>
        <v/>
      </c>
      <c r="D47" s="78" t="s">
        <v>95</v>
      </c>
      <c r="E47" s="80" t="str">
        <f>IF('勤務報告書(上)'!E47&lt;&gt;"",'勤務報告書(上)'!E47,"")</f>
        <v/>
      </c>
      <c r="F47" s="63"/>
      <c r="G47" s="60"/>
      <c r="H47" s="60" t="str">
        <f>IF('勤務報告書(上)'!I47&lt;&gt;0,'勤務報告書(上)'!I47,"- ")</f>
        <v xml:space="preserve">- </v>
      </c>
      <c r="I47" s="76" t="s">
        <v>96</v>
      </c>
      <c r="J47" s="284"/>
      <c r="K47" s="285"/>
      <c r="L47" s="286"/>
      <c r="M47" s="95"/>
      <c r="N47" s="6"/>
    </row>
    <row r="48" spans="1:14" ht="13.5" customHeight="1">
      <c r="A48" s="133"/>
      <c r="B48" s="73" t="s">
        <v>98</v>
      </c>
      <c r="C48" s="91" t="str">
        <f>IF('勤務報告書(上)'!U47&lt;&gt;0,'勤務報告書(上)'!V47,"")</f>
        <v/>
      </c>
      <c r="D48" s="92" t="s">
        <v>95</v>
      </c>
      <c r="E48" s="93" t="str">
        <f>IF('勤務報告書(上)'!U47&lt;&gt;0,'勤務報告書(上)'!W47,"")</f>
        <v/>
      </c>
      <c r="F48" s="77" t="str">
        <f>'勤務報告書(上)'!G48</f>
        <v/>
      </c>
      <c r="G48" s="82" t="str">
        <f>'勤務報告書(上)'!H48</f>
        <v/>
      </c>
      <c r="H48" s="61" t="str">
        <f>IF('勤務報告書(上)'!I48&lt;&gt;0,'勤務報告書(上)'!I48,"- ")</f>
        <v/>
      </c>
      <c r="I48" s="98" t="str">
        <f>'勤務報告書(上)'!J48</f>
        <v/>
      </c>
      <c r="J48" s="287"/>
      <c r="K48" s="288"/>
      <c r="L48" s="289"/>
      <c r="M48" s="96"/>
      <c r="N48" s="7"/>
    </row>
    <row r="49" spans="1:14" ht="13.5" customHeight="1">
      <c r="A49" s="133"/>
      <c r="B49" s="70"/>
      <c r="C49" s="90" t="s">
        <v>117</v>
      </c>
      <c r="D49" s="86"/>
      <c r="E49" s="86"/>
      <c r="F49" s="97"/>
      <c r="G49" s="81"/>
      <c r="H49" s="60" t="str">
        <f>IF('勤務報告書(上)'!I49&lt;&gt;0,'勤務報告書(上)'!I49,"- ")</f>
        <v xml:space="preserve">- </v>
      </c>
      <c r="I49" s="76" t="s">
        <v>96</v>
      </c>
      <c r="J49" s="300"/>
      <c r="K49" s="282"/>
      <c r="L49" s="283"/>
      <c r="M49" s="94"/>
      <c r="N49" s="8"/>
    </row>
    <row r="50" spans="1:14" ht="13.5" customHeight="1">
      <c r="A50" s="133"/>
      <c r="B50" s="68">
        <v>42373</v>
      </c>
      <c r="C50" s="79" t="str">
        <f>IF('勤務報告書(上)'!C50&lt;&gt;"",'勤務報告書(上)'!C50,"")</f>
        <v/>
      </c>
      <c r="D50" s="78" t="s">
        <v>95</v>
      </c>
      <c r="E50" s="80" t="str">
        <f>IF('勤務報告書(上)'!E50&lt;&gt;"",'勤務報告書(上)'!E50,"")</f>
        <v/>
      </c>
      <c r="F50" s="63"/>
      <c r="G50" s="60"/>
      <c r="H50" s="60" t="str">
        <f>IF('勤務報告書(上)'!I50&lt;&gt;0,'勤務報告書(上)'!I50,"- ")</f>
        <v xml:space="preserve">- </v>
      </c>
      <c r="I50" s="76" t="s">
        <v>96</v>
      </c>
      <c r="J50" s="284"/>
      <c r="K50" s="285"/>
      <c r="L50" s="286"/>
      <c r="M50" s="95"/>
      <c r="N50" s="6"/>
    </row>
    <row r="51" spans="1:14" ht="13.5" customHeight="1">
      <c r="A51" s="133"/>
      <c r="B51" s="69" t="s">
        <v>99</v>
      </c>
      <c r="C51" s="91" t="str">
        <f>IF('勤務報告書(上)'!U50&lt;&gt;0,'勤務報告書(上)'!V50,"")</f>
        <v/>
      </c>
      <c r="D51" s="92" t="s">
        <v>95</v>
      </c>
      <c r="E51" s="93" t="str">
        <f>IF('勤務報告書(上)'!U50&lt;&gt;0,'勤務報告書(上)'!W50,"")</f>
        <v/>
      </c>
      <c r="F51" s="77" t="str">
        <f>'勤務報告書(上)'!G51</f>
        <v/>
      </c>
      <c r="G51" s="82" t="str">
        <f>'勤務報告書(上)'!H51</f>
        <v/>
      </c>
      <c r="H51" s="61" t="str">
        <f>IF('勤務報告書(上)'!I51&lt;&gt;0,'勤務報告書(上)'!I51,"- ")</f>
        <v/>
      </c>
      <c r="I51" s="98" t="str">
        <f>'勤務報告書(上)'!J51</f>
        <v/>
      </c>
      <c r="J51" s="287"/>
      <c r="K51" s="288"/>
      <c r="L51" s="289"/>
      <c r="M51" s="96"/>
      <c r="N51" s="7"/>
    </row>
    <row r="52" spans="1:14" ht="13.5" customHeight="1">
      <c r="A52" s="133"/>
      <c r="B52" s="66"/>
      <c r="C52" s="90" t="s">
        <v>117</v>
      </c>
      <c r="D52" s="87"/>
      <c r="E52" s="87"/>
      <c r="F52" s="97"/>
      <c r="G52" s="81"/>
      <c r="H52" s="60" t="str">
        <f>IF('勤務報告書(上)'!I52&lt;&gt;0,'勤務報告書(上)'!I52,"- ")</f>
        <v xml:space="preserve">- </v>
      </c>
      <c r="I52" s="76" t="s">
        <v>96</v>
      </c>
      <c r="J52" s="300"/>
      <c r="K52" s="282"/>
      <c r="L52" s="283"/>
      <c r="M52" s="122"/>
      <c r="N52" s="8"/>
    </row>
    <row r="53" spans="1:14" ht="13.5" customHeight="1">
      <c r="A53" s="133"/>
      <c r="B53" s="68">
        <v>42374</v>
      </c>
      <c r="C53" s="79" t="str">
        <f>IF('勤務報告書(上)'!C53&lt;&gt;"",'勤務報告書(上)'!C53,"")</f>
        <v/>
      </c>
      <c r="D53" s="78" t="s">
        <v>95</v>
      </c>
      <c r="E53" s="80" t="str">
        <f>IF('勤務報告書(上)'!E53&lt;&gt;"",'勤務報告書(上)'!E53,"")</f>
        <v/>
      </c>
      <c r="F53" s="63"/>
      <c r="G53" s="60"/>
      <c r="H53" s="60" t="str">
        <f>IF('勤務報告書(上)'!I53&lt;&gt;0,'勤務報告書(上)'!I53,"- ")</f>
        <v xml:space="preserve">- </v>
      </c>
      <c r="I53" s="76" t="s">
        <v>96</v>
      </c>
      <c r="J53" s="284"/>
      <c r="K53" s="285"/>
      <c r="L53" s="286"/>
      <c r="M53" s="123"/>
      <c r="N53" s="6"/>
    </row>
    <row r="54" spans="1:14" ht="13.5" customHeight="1">
      <c r="A54" s="133"/>
      <c r="B54" s="69" t="s">
        <v>100</v>
      </c>
      <c r="C54" s="91" t="str">
        <f>IF('勤務報告書(上)'!U53&lt;&gt;0,'勤務報告書(上)'!V53,"")</f>
        <v/>
      </c>
      <c r="D54" s="92" t="s">
        <v>95</v>
      </c>
      <c r="E54" s="93" t="str">
        <f>IF('勤務報告書(上)'!U53&lt;&gt;0,'勤務報告書(上)'!W53,"")</f>
        <v/>
      </c>
      <c r="F54" s="77" t="str">
        <f>'勤務報告書(上)'!G54</f>
        <v/>
      </c>
      <c r="G54" s="82" t="str">
        <f>'勤務報告書(上)'!H54</f>
        <v/>
      </c>
      <c r="H54" s="61" t="str">
        <f>IF('勤務報告書(上)'!I54&lt;&gt;0,'勤務報告書(上)'!I54,"- ")</f>
        <v/>
      </c>
      <c r="I54" s="98" t="str">
        <f>'勤務報告書(上)'!J54</f>
        <v/>
      </c>
      <c r="J54" s="287"/>
      <c r="K54" s="288"/>
      <c r="L54" s="289"/>
      <c r="M54" s="124"/>
      <c r="N54" s="7"/>
    </row>
    <row r="55" spans="1:14" ht="13.5" customHeight="1">
      <c r="A55" s="133"/>
      <c r="B55" s="88" t="s">
        <v>72</v>
      </c>
      <c r="C55" s="48"/>
      <c r="D55" s="48"/>
      <c r="E55" s="134"/>
      <c r="F55" s="134"/>
      <c r="G55" s="134"/>
      <c r="H55" s="134"/>
      <c r="I55" s="134"/>
      <c r="J55" s="135"/>
      <c r="K55" s="135"/>
      <c r="L55" s="134"/>
      <c r="M55" s="135"/>
      <c r="N55" s="50"/>
    </row>
    <row r="56" spans="1:14" ht="13.5" customHeight="1">
      <c r="A56" s="133"/>
      <c r="B56" s="51"/>
      <c r="C56" s="187" t="s">
        <v>148</v>
      </c>
      <c r="D56" s="128"/>
      <c r="E56" s="185"/>
      <c r="F56" s="136"/>
      <c r="G56" s="136" t="str">
        <f>IF('勤務報告書(上)'!U56&gt;パラメタ!F11,"残業累計が"&amp;TEXT(パラメタ!F11,"0.0")&amp;"Hを超えています。","")</f>
        <v/>
      </c>
      <c r="H56" s="136"/>
      <c r="I56" s="136"/>
      <c r="J56" s="136"/>
      <c r="K56" s="136"/>
      <c r="L56" s="137"/>
      <c r="M56" s="136"/>
      <c r="N56" s="54"/>
    </row>
    <row r="57" spans="1:14" ht="13.5" customHeight="1">
      <c r="A57" s="133"/>
      <c r="B57" s="51"/>
      <c r="C57" s="187" t="s">
        <v>158</v>
      </c>
      <c r="D57" s="52"/>
      <c r="E57" s="186"/>
      <c r="F57" s="136"/>
      <c r="G57" s="136" t="str">
        <f>IF('勤務報告書(上)'!U56&gt;パラメタ!F11,"繁忙期申請の有無を記入してください。","")</f>
        <v/>
      </c>
      <c r="H57" s="136"/>
      <c r="I57" s="136"/>
      <c r="J57" s="136"/>
      <c r="K57" s="136"/>
      <c r="L57" s="136"/>
      <c r="M57" s="136"/>
      <c r="N57" s="54"/>
    </row>
    <row r="58" spans="1:14" ht="13.5" customHeight="1">
      <c r="A58" s="133"/>
      <c r="B58" s="89"/>
      <c r="C58" s="52"/>
      <c r="D58" s="52"/>
      <c r="E58" s="53"/>
      <c r="F58" s="136"/>
      <c r="G58" s="269" t="str">
        <f>IF('勤務報告書(上)'!U56&gt;VLOOKUP('勤務報告書(上)'!F4,パラメタ!E4:G6,3,FALSE),"あなたの月間上限時間"&amp;TEXT(VLOOKUP('勤務報告書(上)'!F4,パラメタ!E4:G6,3,FALSE),"0.0")&amp;"Hを超えています。","")</f>
        <v/>
      </c>
      <c r="H58" s="136"/>
      <c r="I58" s="136"/>
      <c r="J58" s="136"/>
      <c r="K58" s="136"/>
      <c r="L58" s="136"/>
      <c r="M58" s="136"/>
      <c r="N58" s="54"/>
    </row>
    <row r="59" spans="1:14" ht="15" customHeight="1">
      <c r="A59" s="133"/>
      <c r="B59" s="26"/>
      <c r="C59" s="56"/>
      <c r="D59" s="56"/>
      <c r="E59" s="57"/>
      <c r="F59" s="138"/>
      <c r="G59" s="138"/>
      <c r="H59" s="138"/>
      <c r="I59" s="138"/>
      <c r="J59" s="138"/>
      <c r="K59" s="138"/>
      <c r="L59" s="138"/>
      <c r="M59" s="138"/>
      <c r="N59" s="58"/>
    </row>
    <row r="60" spans="1:14" ht="13.5" customHeight="1">
      <c r="N60" s="129" t="str">
        <f>パラメタ!E2</f>
        <v>Ver2.0</v>
      </c>
    </row>
  </sheetData>
  <sheetProtection sheet="1" objects="1" scenarios="1"/>
  <mergeCells count="22">
    <mergeCell ref="C4:D4"/>
    <mergeCell ref="F4:G4"/>
    <mergeCell ref="H4:I4"/>
    <mergeCell ref="J31:L33"/>
    <mergeCell ref="J34:L36"/>
    <mergeCell ref="J13:L15"/>
    <mergeCell ref="J16:L18"/>
    <mergeCell ref="J25:L27"/>
    <mergeCell ref="J28:L30"/>
    <mergeCell ref="J19:L21"/>
    <mergeCell ref="J22:L24"/>
    <mergeCell ref="J5:L6"/>
    <mergeCell ref="M5:N5"/>
    <mergeCell ref="J7:L9"/>
    <mergeCell ref="J10:L12"/>
    <mergeCell ref="L1:N1"/>
    <mergeCell ref="J49:L51"/>
    <mergeCell ref="J52:L54"/>
    <mergeCell ref="J37:L39"/>
    <mergeCell ref="J40:L42"/>
    <mergeCell ref="J43:L45"/>
    <mergeCell ref="J46:L48"/>
  </mergeCells>
  <phoneticPr fontId="6"/>
  <dataValidations count="2">
    <dataValidation type="list" showInputMessage="1" showErrorMessage="1" errorTitle="勤務報告書" error="リストから選択して下さい！" sqref="E56">
      <formula1>申請リスト</formula1>
    </dataValidation>
    <dataValidation type="list" showInputMessage="1" showErrorMessage="1" errorTitle="勤務報告書" error="リストから選択して下さい！" sqref="E57">
      <formula1>回数リスト</formula1>
    </dataValidation>
  </dataValidations>
  <pageMargins left="0.31496062992125984" right="0.19685039370078741" top="0.39370078740157483" bottom="0.31496062992125984" header="0.31496062992125984" footer="0.2362204724409449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AB60"/>
  <sheetViews>
    <sheetView showGridLines="0" zoomScaleNormal="100" workbookViewId="0">
      <pane ySplit="6" topLeftCell="A7" activePane="bottomLeft" state="frozen"/>
      <selection activeCell="K22" sqref="K22:M24"/>
      <selection pane="bottomLeft" activeCell="C8" sqref="C8"/>
    </sheetView>
  </sheetViews>
  <sheetFormatPr defaultRowHeight="13.5"/>
  <cols>
    <col min="1" max="1" width="1.5703125" style="133" customWidth="1"/>
    <col min="2" max="2" width="7.28515625" style="4" customWidth="1"/>
    <col min="3" max="3" width="8.7109375" style="4" customWidth="1"/>
    <col min="4" max="4" width="3.85546875" style="4" customWidth="1"/>
    <col min="5" max="5" width="8.7109375" style="1" customWidth="1"/>
    <col min="6" max="6" width="8.42578125" style="133" customWidth="1"/>
    <col min="7" max="7" width="1.42578125" style="133" customWidth="1"/>
    <col min="8" max="8" width="6.85546875" style="133" customWidth="1"/>
    <col min="9" max="9" width="6.7109375" style="133" customWidth="1"/>
    <col min="10" max="10" width="3" style="133" customWidth="1"/>
    <col min="11" max="11" width="17.7109375" style="133" customWidth="1"/>
    <col min="12" max="12" width="8.5703125" style="133" customWidth="1"/>
    <col min="13" max="13" width="9.85546875" style="133" customWidth="1"/>
    <col min="14" max="14" width="8.42578125" style="133" customWidth="1"/>
    <col min="15" max="15" width="8.5703125" style="4" customWidth="1"/>
    <col min="16" max="16" width="1.7109375" style="4" customWidth="1"/>
    <col min="17" max="17" width="10.7109375" style="2" customWidth="1"/>
    <col min="18" max="18" width="13.7109375" style="2" customWidth="1"/>
    <col min="19" max="19" width="3.85546875" style="2" customWidth="1"/>
    <col min="20" max="20" width="20.7109375" style="2" hidden="1" customWidth="1"/>
    <col min="21" max="25" width="0" style="2" hidden="1" customWidth="1"/>
    <col min="26" max="28" width="0" style="174" hidden="1" customWidth="1"/>
    <col min="29" max="29" width="0" style="2" hidden="1" customWidth="1"/>
    <col min="30" max="16384" width="9.140625" style="2"/>
  </cols>
  <sheetData>
    <row r="1" spans="1:28" ht="19.5" customHeight="1" thickTop="1">
      <c r="A1" s="133" t="str">
        <f>"【"&amp;パラメタ!E1&amp;"】"</f>
        <v>【株式会社システムリンク】</v>
      </c>
      <c r="J1" s="126" t="s">
        <v>3</v>
      </c>
      <c r="L1" s="13"/>
      <c r="M1" s="277">
        <f ca="1">NOW()</f>
        <v>42411.30500497685</v>
      </c>
      <c r="N1" s="278"/>
      <c r="O1" s="278"/>
      <c r="P1" s="33"/>
      <c r="Q1" s="46" t="s">
        <v>20</v>
      </c>
      <c r="R1" s="44">
        <f>'勤務報告書(上)'!R1</f>
        <v>42370</v>
      </c>
      <c r="S1" s="36"/>
    </row>
    <row r="2" spans="1:28" ht="13.5" customHeight="1">
      <c r="B2" s="133"/>
      <c r="C2" s="9"/>
      <c r="D2" s="9"/>
      <c r="E2" s="3"/>
      <c r="J2" s="32" t="str">
        <f>"（" &amp; TEXT(R1,"ggge年m月") &amp; IF(S2="○",R2,IF(S3="○",R3,"")) &amp; "）"</f>
        <v>（平成28年1月下期分）</v>
      </c>
      <c r="K2" s="12"/>
      <c r="L2" s="12"/>
      <c r="M2" s="12"/>
      <c r="N2" s="12"/>
      <c r="O2" s="10"/>
      <c r="P2" s="10"/>
      <c r="Q2" s="47" t="s">
        <v>21</v>
      </c>
      <c r="R2" s="38" t="s">
        <v>23</v>
      </c>
      <c r="S2" s="45"/>
    </row>
    <row r="3" spans="1:28" ht="13.5" customHeight="1">
      <c r="Q3" s="37"/>
      <c r="R3" s="38" t="s">
        <v>24</v>
      </c>
      <c r="S3" s="45" t="s">
        <v>22</v>
      </c>
    </row>
    <row r="4" spans="1:28" ht="27.75" customHeight="1">
      <c r="A4" s="5"/>
      <c r="B4" s="15" t="s">
        <v>14</v>
      </c>
      <c r="C4" s="296" t="str">
        <f>'勤務報告書(上)'!C4:D4</f>
        <v>システム部</v>
      </c>
      <c r="D4" s="297"/>
      <c r="E4" s="15" t="s">
        <v>129</v>
      </c>
      <c r="F4" s="180" t="str">
        <f>'勤務報告書(上)'!F4</f>
        <v>一般</v>
      </c>
      <c r="G4" s="296" t="s">
        <v>128</v>
      </c>
      <c r="H4" s="297"/>
      <c r="I4" s="311" t="str">
        <f>'勤務報告書(上)'!I4&amp;"　　印　"</f>
        <v>　　印　</v>
      </c>
      <c r="J4" s="294"/>
      <c r="K4" s="295"/>
      <c r="L4" s="15" t="s">
        <v>17</v>
      </c>
      <c r="M4" s="183">
        <f>'勤務報告書(上)'!M4</f>
        <v>42403</v>
      </c>
      <c r="N4" s="17" t="s">
        <v>18</v>
      </c>
      <c r="O4" s="14"/>
      <c r="P4" s="34"/>
      <c r="Q4" s="37"/>
      <c r="R4" s="40"/>
      <c r="S4" s="39"/>
    </row>
    <row r="5" spans="1:28" ht="13.5" customHeight="1">
      <c r="B5" s="18" t="s">
        <v>0</v>
      </c>
      <c r="C5" s="19" t="s">
        <v>4</v>
      </c>
      <c r="D5" s="20" t="s">
        <v>104</v>
      </c>
      <c r="E5" s="21" t="s">
        <v>5</v>
      </c>
      <c r="F5" s="22" t="s">
        <v>7</v>
      </c>
      <c r="G5" s="23" t="s">
        <v>9</v>
      </c>
      <c r="H5" s="24"/>
      <c r="I5" s="24"/>
      <c r="J5" s="24"/>
      <c r="K5" s="23" t="s">
        <v>2</v>
      </c>
      <c r="L5" s="24"/>
      <c r="M5" s="24"/>
      <c r="N5" s="279" t="s">
        <v>115</v>
      </c>
      <c r="O5" s="18" t="s">
        <v>11</v>
      </c>
      <c r="P5" s="35"/>
      <c r="Q5" s="37"/>
      <c r="R5" s="40"/>
      <c r="S5" s="39"/>
      <c r="Z5" s="174">
        <f>'勤務報告書(上)'!Z53</f>
        <v>0</v>
      </c>
      <c r="AA5" s="174">
        <f>'勤務報告書(上)'!AA53</f>
        <v>0</v>
      </c>
    </row>
    <row r="6" spans="1:28" s="1" customFormat="1" ht="13.5" customHeight="1" thickBot="1">
      <c r="B6" s="25" t="s">
        <v>1</v>
      </c>
      <c r="C6" s="26"/>
      <c r="D6" s="27" t="s">
        <v>6</v>
      </c>
      <c r="E6" s="28"/>
      <c r="F6" s="25" t="s">
        <v>8</v>
      </c>
      <c r="G6" s="29" t="s">
        <v>10</v>
      </c>
      <c r="H6" s="30"/>
      <c r="I6" s="30"/>
      <c r="J6" s="30"/>
      <c r="K6" s="29" t="s">
        <v>13</v>
      </c>
      <c r="L6" s="30"/>
      <c r="M6" s="30"/>
      <c r="N6" s="280"/>
      <c r="O6" s="31" t="s">
        <v>12</v>
      </c>
      <c r="P6" s="35"/>
      <c r="Q6" s="41"/>
      <c r="R6" s="42"/>
      <c r="S6" s="43"/>
      <c r="T6" s="175"/>
      <c r="U6" s="175"/>
      <c r="V6" s="148" t="s">
        <v>118</v>
      </c>
      <c r="W6" s="148" t="s">
        <v>119</v>
      </c>
      <c r="X6" s="148" t="s">
        <v>147</v>
      </c>
      <c r="Y6" s="148" t="s">
        <v>64</v>
      </c>
      <c r="Z6" s="148" t="s">
        <v>144</v>
      </c>
      <c r="AA6" s="148" t="s">
        <v>146</v>
      </c>
      <c r="AB6" s="148" t="s">
        <v>145</v>
      </c>
    </row>
    <row r="7" spans="1:28" ht="13.5" customHeight="1" thickTop="1">
      <c r="A7" s="133">
        <v>4</v>
      </c>
      <c r="B7" s="66" t="s">
        <v>352</v>
      </c>
      <c r="C7" s="67"/>
      <c r="D7" s="87"/>
      <c r="E7" s="87"/>
      <c r="F7" s="308" t="s">
        <v>112</v>
      </c>
      <c r="G7" s="100"/>
      <c r="H7" s="101"/>
      <c r="I7" s="102">
        <f>IF(AND(B8&lt;&gt;"",B8&lt;&gt;"-"),U7,"- ")</f>
        <v>0</v>
      </c>
      <c r="J7" s="103" t="s">
        <v>120</v>
      </c>
      <c r="K7" s="281"/>
      <c r="L7" s="282"/>
      <c r="M7" s="283"/>
      <c r="N7" s="104"/>
      <c r="O7" s="8"/>
      <c r="P7" s="11"/>
      <c r="T7" s="174" t="str">
        <f>ug_TIME(ROW(),C8,E8)</f>
        <v>00000000000000000</v>
      </c>
      <c r="U7" s="176">
        <f>VALUE(MID(T7,1,3))/10</f>
        <v>0</v>
      </c>
      <c r="V7" s="174"/>
      <c r="W7" s="174"/>
      <c r="X7" s="174"/>
      <c r="Y7" s="174"/>
    </row>
    <row r="8" spans="1:28" ht="13.5" customHeight="1">
      <c r="B8" s="83">
        <v>42375</v>
      </c>
      <c r="C8" s="189"/>
      <c r="D8" s="84" t="s">
        <v>105</v>
      </c>
      <c r="E8" s="190"/>
      <c r="F8" s="309"/>
      <c r="G8" s="108"/>
      <c r="H8" s="102"/>
      <c r="I8" s="102" t="str">
        <f>IF(AND(B8&lt;&gt;"",B8&lt;&gt;"-",U8&gt;0),U8,"- ")</f>
        <v xml:space="preserve">- </v>
      </c>
      <c r="J8" s="103" t="s">
        <v>120</v>
      </c>
      <c r="K8" s="284"/>
      <c r="L8" s="285"/>
      <c r="M8" s="286"/>
      <c r="N8" s="109">
        <f>'勤務報告書(上)'!N53+X8+AB8</f>
        <v>0</v>
      </c>
      <c r="O8" s="6"/>
      <c r="P8" s="11"/>
      <c r="T8" s="174"/>
      <c r="U8" s="176">
        <f>VALUE(MID(T7,4,3))/10</f>
        <v>0</v>
      </c>
      <c r="V8" s="174" t="str">
        <f>(TEXT(MID(T7,10,2),"0")&amp;":"&amp;TEXT(MID(T7,12,2),"00") )</f>
        <v>0:00</v>
      </c>
      <c r="W8" s="174" t="str">
        <f>(TEXT(MID(T7,14,2),"0")&amp;":"&amp;TEXT(MID(T7,16,2),"00") )</f>
        <v>0:00</v>
      </c>
      <c r="X8" s="174">
        <f>IF(OR(A7=1,A7=7,A7=9),0,U8)</f>
        <v>0</v>
      </c>
      <c r="Y8" s="174">
        <f>IF(OR(A7=1,A7=7,A7=9),U7,0)</f>
        <v>0</v>
      </c>
      <c r="Z8" s="174">
        <f>IF(Y8&lt;8,IF(AA5&lt;&gt;0,Y8,Z5+Y8),IF(AA5&lt;&gt;0,0,Z5))</f>
        <v>0</v>
      </c>
      <c r="AA8" s="174">
        <f>IF(Y8&lt;8,ROUNDDOWN(Z8/8,0),ROUNDDOWN(Y8/8,0))</f>
        <v>0</v>
      </c>
      <c r="AB8" s="174">
        <f>IF(Y8&lt;8,IF(AA8&gt;0,Z8-8*AA8,0),Y8-8)</f>
        <v>0</v>
      </c>
    </row>
    <row r="9" spans="1:28" ht="13.5" customHeight="1">
      <c r="B9" s="69" t="s">
        <v>101</v>
      </c>
      <c r="C9" s="312" t="s">
        <v>345</v>
      </c>
      <c r="D9" s="275"/>
      <c r="E9" s="276"/>
      <c r="F9" s="310"/>
      <c r="G9" s="111" t="str">
        <f>IF(AND(B8&lt;&gt;"",B8&lt;&gt;"-",U9&gt;0),"(","")</f>
        <v/>
      </c>
      <c r="H9" s="112" t="str">
        <f>IF(AND(B8&lt;&gt;"",B8&lt;&gt;"-",U9&gt;0),"うち深夜","")</f>
        <v/>
      </c>
      <c r="I9" s="113" t="str">
        <f>IF(AND(B8&lt;&gt;"",B8&lt;&gt;"-",U9&gt;0),U9,"")</f>
        <v/>
      </c>
      <c r="J9" s="114" t="str">
        <f>IF(AND(B8&lt;&gt;"",B8&lt;&gt;"-",U9&gt;0),"H)","")</f>
        <v/>
      </c>
      <c r="K9" s="287"/>
      <c r="L9" s="288"/>
      <c r="M9" s="289"/>
      <c r="N9" s="177" t="str">
        <f>IF(AA8&lt;&gt;0,"振("&amp;TEXT(AB8,"0.0")&amp;"H)",IF(Y8&lt;&gt;0,"休保留",""))</f>
        <v/>
      </c>
      <c r="O9" s="7"/>
      <c r="P9" s="11"/>
      <c r="T9" s="174"/>
      <c r="U9" s="176">
        <f>VALUE(MID(T7,7,3))/10</f>
        <v>0</v>
      </c>
      <c r="V9" s="174"/>
      <c r="W9" s="174"/>
      <c r="X9" s="174"/>
      <c r="Y9" s="174"/>
    </row>
    <row r="10" spans="1:28" ht="13.5" customHeight="1">
      <c r="A10" s="133">
        <v>5</v>
      </c>
      <c r="B10" s="66"/>
      <c r="C10" s="67"/>
      <c r="D10" s="87"/>
      <c r="E10" s="87"/>
      <c r="F10" s="308" t="s">
        <v>112</v>
      </c>
      <c r="G10" s="100"/>
      <c r="H10" s="101"/>
      <c r="I10" s="102">
        <f>IF(AND(B11&lt;&gt;"",B11&lt;&gt;"-"),U10,"- ")</f>
        <v>0</v>
      </c>
      <c r="J10" s="103" t="s">
        <v>120</v>
      </c>
      <c r="K10" s="298"/>
      <c r="L10" s="282"/>
      <c r="M10" s="283"/>
      <c r="N10" s="104"/>
      <c r="O10" s="8"/>
      <c r="P10" s="11"/>
      <c r="T10" s="174" t="str">
        <f>ug_TIME(ROW(),C11,E11)</f>
        <v>00000000000000000</v>
      </c>
      <c r="U10" s="176">
        <f>VALUE(MID(T10,1,3))/10</f>
        <v>0</v>
      </c>
      <c r="V10" s="174"/>
      <c r="W10" s="174"/>
      <c r="X10" s="174"/>
      <c r="Y10" s="174"/>
    </row>
    <row r="11" spans="1:28" ht="13.5" customHeight="1">
      <c r="B11" s="83">
        <v>42376</v>
      </c>
      <c r="C11" s="181"/>
      <c r="D11" s="84" t="s">
        <v>105</v>
      </c>
      <c r="E11" s="190"/>
      <c r="F11" s="309"/>
      <c r="G11" s="108"/>
      <c r="H11" s="102"/>
      <c r="I11" s="102" t="str">
        <f>IF(AND(B11&lt;&gt;"",B11&lt;&gt;"-",U11&gt;0),U11,"- ")</f>
        <v xml:space="preserve">- </v>
      </c>
      <c r="J11" s="103" t="s">
        <v>120</v>
      </c>
      <c r="K11" s="284"/>
      <c r="L11" s="285"/>
      <c r="M11" s="286"/>
      <c r="N11" s="109">
        <f>N8+X11+AB11</f>
        <v>0</v>
      </c>
      <c r="O11" s="6"/>
      <c r="P11" s="11"/>
      <c r="T11" s="174"/>
      <c r="U11" s="176">
        <f>VALUE(MID(T10,4,3))/10</f>
        <v>0</v>
      </c>
      <c r="V11" s="174" t="str">
        <f>(TEXT(MID(T10,10,2),"0")&amp;":"&amp;TEXT(MID(T10,12,2),"00") )</f>
        <v>0:00</v>
      </c>
      <c r="W11" s="174" t="str">
        <f>(TEXT(MID(T10,14,2),"0")&amp;":"&amp;TEXT(MID(T10,16,2),"00") )</f>
        <v>0:00</v>
      </c>
      <c r="X11" s="174">
        <f>IF(OR(A10=1,A10=7,A10=9),0,U11)</f>
        <v>0</v>
      </c>
      <c r="Y11" s="174">
        <f>IF(OR(A10=1,A10=7,A10=9),U10,0)</f>
        <v>0</v>
      </c>
      <c r="Z11" s="174">
        <f>IF(Y11&lt;8,IF(AA8&lt;&gt;0,Y11,Z8+Y11),IF(AA8&lt;&gt;0,0,Z8))</f>
        <v>0</v>
      </c>
      <c r="AA11" s="174">
        <f>IF(Y11&lt;8,ROUNDDOWN(Z11/8,0),ROUNDDOWN(Y11/8,0))</f>
        <v>0</v>
      </c>
      <c r="AB11" s="174">
        <f>IF(Y11&lt;8,IF(AA11&gt;0,Z11-8*AA11,0),Y11-8)</f>
        <v>0</v>
      </c>
    </row>
    <row r="12" spans="1:28" ht="13.5" customHeight="1">
      <c r="B12" s="69" t="s">
        <v>102</v>
      </c>
      <c r="C12" s="312" t="str">
        <f>C9</f>
        <v>　シ　遅　早　代　休</v>
      </c>
      <c r="D12" s="275"/>
      <c r="E12" s="276"/>
      <c r="F12" s="310"/>
      <c r="G12" s="111" t="str">
        <f>IF(AND(B11&lt;&gt;"",B11&lt;&gt;"-",U12&gt;0),"(","")</f>
        <v/>
      </c>
      <c r="H12" s="112" t="str">
        <f>IF(AND(B11&lt;&gt;"",B11&lt;&gt;"-",U12&gt;0),"うち深夜","")</f>
        <v/>
      </c>
      <c r="I12" s="113" t="str">
        <f>IF(AND(B11&lt;&gt;"",B11&lt;&gt;"-",U12&gt;0),U12,"")</f>
        <v/>
      </c>
      <c r="J12" s="114" t="str">
        <f>IF(AND(B11&lt;&gt;"",B11&lt;&gt;"-",U12&gt;0),"H)","")</f>
        <v/>
      </c>
      <c r="K12" s="287"/>
      <c r="L12" s="288"/>
      <c r="M12" s="289"/>
      <c r="N12" s="177" t="str">
        <f>IF(AA11&lt;&gt;0,"振("&amp;TEXT(AB11,"0.0")&amp;"H)",IF(Y11&lt;&gt;0,"休保留",""))</f>
        <v/>
      </c>
      <c r="O12" s="7"/>
      <c r="P12" s="11"/>
      <c r="T12" s="174"/>
      <c r="U12" s="176">
        <f>VALUE(MID(T10,7,3))/10</f>
        <v>0</v>
      </c>
      <c r="V12" s="174"/>
      <c r="W12" s="174"/>
      <c r="X12" s="174"/>
      <c r="Y12" s="174"/>
    </row>
    <row r="13" spans="1:28" ht="13.5" customHeight="1">
      <c r="A13" s="133">
        <v>6</v>
      </c>
      <c r="B13" s="66"/>
      <c r="C13" s="67"/>
      <c r="D13" s="87"/>
      <c r="E13" s="87"/>
      <c r="F13" s="308" t="s">
        <v>112</v>
      </c>
      <c r="G13" s="100"/>
      <c r="H13" s="101"/>
      <c r="I13" s="102">
        <f>IF(AND(B14&lt;&gt;"",B14&lt;&gt;"-"),U13,"- ")</f>
        <v>0</v>
      </c>
      <c r="J13" s="103" t="s">
        <v>120</v>
      </c>
      <c r="K13" s="298"/>
      <c r="L13" s="282"/>
      <c r="M13" s="283"/>
      <c r="N13" s="104"/>
      <c r="O13" s="8"/>
      <c r="P13" s="11"/>
      <c r="T13" s="174" t="str">
        <f>ug_TIME(ROW(),C14,E14)</f>
        <v>00000000000000000</v>
      </c>
      <c r="U13" s="176">
        <f>VALUE(MID(T13,1,3))/10</f>
        <v>0</v>
      </c>
      <c r="V13" s="174"/>
      <c r="W13" s="174"/>
      <c r="X13" s="174"/>
      <c r="Y13" s="174"/>
    </row>
    <row r="14" spans="1:28" ht="13.5" customHeight="1">
      <c r="B14" s="83">
        <v>42377</v>
      </c>
      <c r="C14" s="181"/>
      <c r="D14" s="84" t="s">
        <v>105</v>
      </c>
      <c r="E14" s="190"/>
      <c r="F14" s="309"/>
      <c r="G14" s="108"/>
      <c r="H14" s="102"/>
      <c r="I14" s="102" t="str">
        <f>IF(AND(B14&lt;&gt;"",B14&lt;&gt;"-",U14&gt;0),U14,"- ")</f>
        <v xml:space="preserve">- </v>
      </c>
      <c r="J14" s="103" t="s">
        <v>120</v>
      </c>
      <c r="K14" s="284"/>
      <c r="L14" s="285"/>
      <c r="M14" s="286"/>
      <c r="N14" s="109">
        <f>N11+X14+AB14</f>
        <v>0</v>
      </c>
      <c r="O14" s="6"/>
      <c r="P14" s="11"/>
      <c r="T14" s="174"/>
      <c r="U14" s="176">
        <f>VALUE(MID(T13,4,3))/10</f>
        <v>0</v>
      </c>
      <c r="V14" s="174" t="str">
        <f>(TEXT(MID(T13,10,2),"0")&amp;":"&amp;TEXT(MID(T13,12,2),"00") )</f>
        <v>0:00</v>
      </c>
      <c r="W14" s="174" t="str">
        <f>(TEXT(MID(T13,14,2),"0")&amp;":"&amp;TEXT(MID(T13,16,2),"00") )</f>
        <v>0:00</v>
      </c>
      <c r="X14" s="174">
        <f>IF(OR(A13=1,A13=7,A13=9),0,U14)</f>
        <v>0</v>
      </c>
      <c r="Y14" s="174">
        <f>IF(OR(A13=1,A13=7,A13=9),U13,0)</f>
        <v>0</v>
      </c>
      <c r="Z14" s="174">
        <f>IF(Y14&lt;8,IF(AA11&lt;&gt;0,Y14,Z11+Y14),IF(AA11&lt;&gt;0,0,Z11))</f>
        <v>0</v>
      </c>
      <c r="AA14" s="174">
        <f>IF(Y14&lt;8,ROUNDDOWN(Z14/8,0),ROUNDDOWN(Y14/8,0))</f>
        <v>0</v>
      </c>
      <c r="AB14" s="174">
        <f>IF(Y14&lt;8,IF(AA14&gt;0,Z14-8*AA14,0),Y14-8)</f>
        <v>0</v>
      </c>
    </row>
    <row r="15" spans="1:28" ht="13.5" customHeight="1">
      <c r="B15" s="69" t="s">
        <v>103</v>
      </c>
      <c r="C15" s="312" t="str">
        <f>C12</f>
        <v>　シ　遅　早　代　休</v>
      </c>
      <c r="D15" s="275"/>
      <c r="E15" s="276"/>
      <c r="F15" s="310"/>
      <c r="G15" s="111" t="str">
        <f>IF(AND(B14&lt;&gt;"",B14&lt;&gt;"-",U15&gt;0),"(","")</f>
        <v/>
      </c>
      <c r="H15" s="112" t="str">
        <f>IF(AND(B14&lt;&gt;"",B14&lt;&gt;"-",U15&gt;0),"うち深夜","")</f>
        <v/>
      </c>
      <c r="I15" s="113" t="str">
        <f>IF(AND(B14&lt;&gt;"",B14&lt;&gt;"-",U15&gt;0),U15,"")</f>
        <v/>
      </c>
      <c r="J15" s="114" t="str">
        <f>IF(AND(B14&lt;&gt;"",B14&lt;&gt;"-",U15&gt;0),"H)","")</f>
        <v/>
      </c>
      <c r="K15" s="287"/>
      <c r="L15" s="288"/>
      <c r="M15" s="289"/>
      <c r="N15" s="177" t="str">
        <f>IF(AA14&lt;&gt;0,"振("&amp;TEXT(AB14,"0.0")&amp;"H)",IF(Y14&lt;&gt;0,"休保留",""))</f>
        <v/>
      </c>
      <c r="O15" s="7"/>
      <c r="P15" s="11"/>
      <c r="T15" s="174"/>
      <c r="U15" s="176">
        <f>VALUE(MID(T13,7,3))/10</f>
        <v>0</v>
      </c>
      <c r="V15" s="174"/>
      <c r="W15" s="174"/>
      <c r="X15" s="174"/>
      <c r="Y15" s="174"/>
    </row>
    <row r="16" spans="1:28" ht="13.5" customHeight="1">
      <c r="A16" s="133">
        <v>7</v>
      </c>
      <c r="B16" s="66"/>
      <c r="C16" s="67"/>
      <c r="D16" s="87"/>
      <c r="E16" s="87"/>
      <c r="F16" s="308" t="s">
        <v>112</v>
      </c>
      <c r="G16" s="100"/>
      <c r="H16" s="101"/>
      <c r="I16" s="102">
        <f>IF(AND(B17&lt;&gt;"",B17&lt;&gt;"-"),U16,"- ")</f>
        <v>0</v>
      </c>
      <c r="J16" s="103" t="s">
        <v>120</v>
      </c>
      <c r="K16" s="298"/>
      <c r="L16" s="282"/>
      <c r="M16" s="283"/>
      <c r="N16" s="104"/>
      <c r="O16" s="8"/>
      <c r="P16" s="11"/>
      <c r="T16" s="174" t="str">
        <f>ug_TIME(ROW(),C17,E17)</f>
        <v>00000000000000000</v>
      </c>
      <c r="U16" s="176">
        <f>VALUE(MID(T16,1,3))/10</f>
        <v>0</v>
      </c>
      <c r="V16" s="174"/>
      <c r="W16" s="174"/>
      <c r="X16" s="174"/>
      <c r="Y16" s="174"/>
    </row>
    <row r="17" spans="1:28" ht="13.5" customHeight="1">
      <c r="B17" s="83">
        <v>42378</v>
      </c>
      <c r="C17" s="181"/>
      <c r="D17" s="84" t="s">
        <v>105</v>
      </c>
      <c r="E17" s="190"/>
      <c r="F17" s="309"/>
      <c r="G17" s="108"/>
      <c r="H17" s="102"/>
      <c r="I17" s="102" t="str">
        <f>IF(AND(B17&lt;&gt;"",B17&lt;&gt;"-",U17&gt;0),U17,"- ")</f>
        <v xml:space="preserve">- </v>
      </c>
      <c r="J17" s="103" t="s">
        <v>120</v>
      </c>
      <c r="K17" s="284"/>
      <c r="L17" s="285"/>
      <c r="M17" s="286"/>
      <c r="N17" s="109">
        <f>N14+X17+AB17</f>
        <v>0</v>
      </c>
      <c r="O17" s="6"/>
      <c r="P17" s="11"/>
      <c r="T17" s="174"/>
      <c r="U17" s="176">
        <f>VALUE(MID(T16,4,3))/10</f>
        <v>0</v>
      </c>
      <c r="V17" s="174" t="str">
        <f>(TEXT(MID(T16,10,2),"0")&amp;":"&amp;TEXT(MID(T16,12,2),"00") )</f>
        <v>0:00</v>
      </c>
      <c r="W17" s="174" t="str">
        <f>(TEXT(MID(T16,14,2),"0")&amp;":"&amp;TEXT(MID(T16,16,2),"00") )</f>
        <v>0:00</v>
      </c>
      <c r="X17" s="174">
        <f>IF(OR(A16=1,A16=7,A16=9),0,U17)</f>
        <v>0</v>
      </c>
      <c r="Y17" s="174">
        <f>IF(OR(A16=1,A16=7,A16=9),U16,0)</f>
        <v>0</v>
      </c>
      <c r="Z17" s="174">
        <f>IF(Y17&lt;8,IF(AA14&lt;&gt;0,Y17,Z14+Y17),IF(AA14&lt;&gt;0,0,Z14))</f>
        <v>0</v>
      </c>
      <c r="AA17" s="174">
        <f>IF(Y17&lt;8,ROUNDDOWN(Z17/8,0),ROUNDDOWN(Y17/8,0))</f>
        <v>0</v>
      </c>
      <c r="AB17" s="174">
        <f>IF(Y17&lt;8,IF(AA17&gt;0,Z17-8*AA17,0),Y17-8)</f>
        <v>0</v>
      </c>
    </row>
    <row r="18" spans="1:28" ht="13.5" customHeight="1">
      <c r="B18" s="71" t="s">
        <v>97</v>
      </c>
      <c r="C18" s="312" t="str">
        <f>C15</f>
        <v>　シ　遅　早　代　休</v>
      </c>
      <c r="D18" s="275"/>
      <c r="E18" s="276"/>
      <c r="F18" s="310"/>
      <c r="G18" s="111" t="str">
        <f>IF(AND(B17&lt;&gt;"",B17&lt;&gt;"-",U18&gt;0),"(","")</f>
        <v/>
      </c>
      <c r="H18" s="112" t="str">
        <f>IF(AND(B17&lt;&gt;"",B17&lt;&gt;"-",U18&gt;0),"うち深夜","")</f>
        <v/>
      </c>
      <c r="I18" s="113" t="str">
        <f>IF(AND(B17&lt;&gt;"",B17&lt;&gt;"-",U18&gt;0),U18,"")</f>
        <v/>
      </c>
      <c r="J18" s="114" t="str">
        <f>IF(AND(B17&lt;&gt;"",B17&lt;&gt;"-",U18&gt;0),"H)","")</f>
        <v/>
      </c>
      <c r="K18" s="287"/>
      <c r="L18" s="288"/>
      <c r="M18" s="289"/>
      <c r="N18" s="177" t="str">
        <f>IF(AA17&lt;&gt;0,"振("&amp;TEXT(AB17,"0.0")&amp;"H)",IF(Y17&lt;&gt;0,"休保留",""))</f>
        <v/>
      </c>
      <c r="O18" s="7"/>
      <c r="P18" s="11"/>
      <c r="T18" s="174"/>
      <c r="U18" s="176">
        <f>VALUE(MID(T16,7,3))/10</f>
        <v>0</v>
      </c>
      <c r="V18" s="174"/>
      <c r="W18" s="174"/>
      <c r="X18" s="174"/>
      <c r="Y18" s="174"/>
    </row>
    <row r="19" spans="1:28" ht="13.5" customHeight="1">
      <c r="A19" s="133">
        <v>1</v>
      </c>
      <c r="B19" s="66"/>
      <c r="C19" s="67"/>
      <c r="D19" s="87"/>
      <c r="E19" s="87"/>
      <c r="F19" s="308" t="s">
        <v>112</v>
      </c>
      <c r="G19" s="100"/>
      <c r="H19" s="101"/>
      <c r="I19" s="102">
        <f>IF(AND(B20&lt;&gt;"",B20&lt;&gt;"-"),U19,"- ")</f>
        <v>0</v>
      </c>
      <c r="J19" s="103" t="s">
        <v>120</v>
      </c>
      <c r="K19" s="298"/>
      <c r="L19" s="282"/>
      <c r="M19" s="283"/>
      <c r="N19" s="104"/>
      <c r="O19" s="8"/>
      <c r="P19" s="11"/>
      <c r="T19" s="174" t="str">
        <f>ug_TIME(ROW(),C20,E20)</f>
        <v>00000000000000000</v>
      </c>
      <c r="U19" s="176">
        <f>VALUE(MID(T19,1,3))/10</f>
        <v>0</v>
      </c>
      <c r="V19" s="174"/>
      <c r="W19" s="174"/>
      <c r="X19" s="174"/>
      <c r="Y19" s="174"/>
    </row>
    <row r="20" spans="1:28" ht="13.5" customHeight="1">
      <c r="B20" s="83">
        <v>42379</v>
      </c>
      <c r="C20" s="181"/>
      <c r="D20" s="84" t="s">
        <v>105</v>
      </c>
      <c r="E20" s="190"/>
      <c r="F20" s="309"/>
      <c r="G20" s="108"/>
      <c r="H20" s="102"/>
      <c r="I20" s="102" t="str">
        <f>IF(AND(B20&lt;&gt;"",B20&lt;&gt;"-",U20&gt;0),U20,"- ")</f>
        <v xml:space="preserve">- </v>
      </c>
      <c r="J20" s="103" t="s">
        <v>120</v>
      </c>
      <c r="K20" s="284"/>
      <c r="L20" s="285"/>
      <c r="M20" s="286"/>
      <c r="N20" s="109">
        <f>N17+X20+AB20</f>
        <v>0</v>
      </c>
      <c r="O20" s="6"/>
      <c r="P20" s="11"/>
      <c r="T20" s="174"/>
      <c r="U20" s="176">
        <f>VALUE(MID(T19,4,3))/10</f>
        <v>0</v>
      </c>
      <c r="V20" s="174" t="str">
        <f>(TEXT(MID(T19,10,2),"0")&amp;":"&amp;TEXT(MID(T19,12,2),"00") )</f>
        <v>0:00</v>
      </c>
      <c r="W20" s="174" t="str">
        <f>(TEXT(MID(T19,14,2),"0")&amp;":"&amp;TEXT(MID(T19,16,2),"00") )</f>
        <v>0:00</v>
      </c>
      <c r="X20" s="174">
        <f>IF(OR(A19=1,A19=7,A19=9),0,U20)</f>
        <v>0</v>
      </c>
      <c r="Y20" s="174">
        <f>IF(OR(A19=1,A19=7,A19=9),U19,0)</f>
        <v>0</v>
      </c>
      <c r="Z20" s="174">
        <f>IF(Y20&lt;8,IF(AA17&lt;&gt;0,Y20,Z17+Y20),IF(AA17&lt;&gt;0,0,Z17))</f>
        <v>0</v>
      </c>
      <c r="AA20" s="174">
        <f>IF(Y20&lt;8,ROUNDDOWN(Z20/8,0),ROUNDDOWN(Y20/8,0))</f>
        <v>0</v>
      </c>
      <c r="AB20" s="174">
        <f>IF(Y20&lt;8,IF(AA20&gt;0,Z20-8*AA20,0),Y20-8)</f>
        <v>0</v>
      </c>
    </row>
    <row r="21" spans="1:28" ht="13.5" customHeight="1">
      <c r="B21" s="73" t="s">
        <v>98</v>
      </c>
      <c r="C21" s="312" t="str">
        <f>C18</f>
        <v>　シ　遅　早　代　休</v>
      </c>
      <c r="D21" s="275"/>
      <c r="E21" s="276"/>
      <c r="F21" s="310"/>
      <c r="G21" s="111" t="str">
        <f>IF(AND(B20&lt;&gt;"",B20&lt;&gt;"-",U21&gt;0),"(","")</f>
        <v/>
      </c>
      <c r="H21" s="112" t="str">
        <f>IF(AND(B20&lt;&gt;"",B20&lt;&gt;"-",U21&gt;0),"うち深夜","")</f>
        <v/>
      </c>
      <c r="I21" s="113" t="str">
        <f>IF(AND(B20&lt;&gt;"",B20&lt;&gt;"-",U21&gt;0),U21,"")</f>
        <v/>
      </c>
      <c r="J21" s="114" t="str">
        <f>IF(AND(B20&lt;&gt;"",B20&lt;&gt;"-",U21&gt;0),"H)","")</f>
        <v/>
      </c>
      <c r="K21" s="287"/>
      <c r="L21" s="288"/>
      <c r="M21" s="289"/>
      <c r="N21" s="177" t="str">
        <f>IF(AA20&lt;&gt;0,"振("&amp;TEXT(AB20,"0.0")&amp;"H)",IF(Y20&lt;&gt;0,"休保留",""))</f>
        <v/>
      </c>
      <c r="O21" s="7"/>
      <c r="P21" s="11"/>
      <c r="T21" s="174"/>
      <c r="U21" s="176">
        <f>VALUE(MID(T19,7,3))/10</f>
        <v>0</v>
      </c>
      <c r="V21" s="174"/>
      <c r="W21" s="174"/>
      <c r="X21" s="174"/>
      <c r="Y21" s="174"/>
    </row>
    <row r="22" spans="1:28" ht="13.5" customHeight="1">
      <c r="A22" s="133">
        <v>9</v>
      </c>
      <c r="B22" s="66"/>
      <c r="C22" s="272" t="s">
        <v>356</v>
      </c>
      <c r="D22" s="87"/>
      <c r="E22" s="87"/>
      <c r="F22" s="308" t="s">
        <v>112</v>
      </c>
      <c r="G22" s="100"/>
      <c r="H22" s="101"/>
      <c r="I22" s="102">
        <f>IF(AND(B23&lt;&gt;"",B23&lt;&gt;"-"),U22,"- ")</f>
        <v>0</v>
      </c>
      <c r="J22" s="103" t="s">
        <v>120</v>
      </c>
      <c r="K22" s="298"/>
      <c r="L22" s="282"/>
      <c r="M22" s="283"/>
      <c r="N22" s="104"/>
      <c r="O22" s="8"/>
      <c r="P22" s="11"/>
      <c r="T22" s="174" t="str">
        <f>ug_TIME(ROW(),C23,E23)</f>
        <v>00000000000000000</v>
      </c>
      <c r="U22" s="176">
        <f>VALUE(MID(T22,1,3))/10</f>
        <v>0</v>
      </c>
      <c r="V22" s="174"/>
      <c r="W22" s="174"/>
      <c r="X22" s="174"/>
      <c r="Y22" s="174"/>
    </row>
    <row r="23" spans="1:28" ht="13.5" customHeight="1">
      <c r="B23" s="83">
        <v>42380</v>
      </c>
      <c r="C23" s="181"/>
      <c r="D23" s="84" t="s">
        <v>105</v>
      </c>
      <c r="E23" s="190"/>
      <c r="F23" s="309"/>
      <c r="G23" s="108"/>
      <c r="H23" s="102"/>
      <c r="I23" s="102" t="str">
        <f>IF(AND(B23&lt;&gt;"",B23&lt;&gt;"-",U23&gt;0),U23,"- ")</f>
        <v xml:space="preserve">- </v>
      </c>
      <c r="J23" s="103" t="s">
        <v>120</v>
      </c>
      <c r="K23" s="284"/>
      <c r="L23" s="285"/>
      <c r="M23" s="286"/>
      <c r="N23" s="109">
        <f>N20+X23+AB23</f>
        <v>0</v>
      </c>
      <c r="O23" s="6"/>
      <c r="P23" s="11"/>
      <c r="T23" s="174"/>
      <c r="U23" s="176">
        <f>VALUE(MID(T22,4,3))/10</f>
        <v>0</v>
      </c>
      <c r="V23" s="174" t="str">
        <f>(TEXT(MID(T22,10,2),"0")&amp;":"&amp;TEXT(MID(T22,12,2),"00") )</f>
        <v>0:00</v>
      </c>
      <c r="W23" s="174" t="str">
        <f>(TEXT(MID(T22,14,2),"0")&amp;":"&amp;TEXT(MID(T22,16,2),"00") )</f>
        <v>0:00</v>
      </c>
      <c r="X23" s="174">
        <f>IF(OR(A22=1,A22=7,A22=9),0,U23)</f>
        <v>0</v>
      </c>
      <c r="Y23" s="174">
        <f>IF(OR(A22=1,A22=7,A22=9),U22,0)</f>
        <v>0</v>
      </c>
      <c r="Z23" s="174">
        <f>IF(Y23&lt;8,IF(AA20&lt;&gt;0,Y23,Z20+Y23),IF(AA20&lt;&gt;0,0,Z20))</f>
        <v>0</v>
      </c>
      <c r="AA23" s="174">
        <f>IF(Y23&lt;8,ROUNDDOWN(Z23/8,0),ROUNDDOWN(Y23/8,0))</f>
        <v>0</v>
      </c>
      <c r="AB23" s="174">
        <f>IF(Y23&lt;8,IF(AA23&gt;0,Z23-8*AA23,0),Y23-8)</f>
        <v>0</v>
      </c>
    </row>
    <row r="24" spans="1:28" ht="13.5" customHeight="1">
      <c r="B24" s="73" t="s">
        <v>99</v>
      </c>
      <c r="C24" s="312" t="str">
        <f>C21</f>
        <v>　シ　遅　早　代　休</v>
      </c>
      <c r="D24" s="275"/>
      <c r="E24" s="276"/>
      <c r="F24" s="310"/>
      <c r="G24" s="111" t="str">
        <f>IF(AND(B23&lt;&gt;"",B23&lt;&gt;"-",U24&gt;0),"(","")</f>
        <v/>
      </c>
      <c r="H24" s="112" t="str">
        <f>IF(AND(B23&lt;&gt;"",B23&lt;&gt;"-",U24&gt;0),"うち深夜","")</f>
        <v/>
      </c>
      <c r="I24" s="113" t="str">
        <f>IF(AND(B23&lt;&gt;"",B23&lt;&gt;"-",U24&gt;0),U24,"")</f>
        <v/>
      </c>
      <c r="J24" s="114" t="str">
        <f>IF(AND(B23&lt;&gt;"",B23&lt;&gt;"-",U24&gt;0),"H)","")</f>
        <v/>
      </c>
      <c r="K24" s="287"/>
      <c r="L24" s="288"/>
      <c r="M24" s="289"/>
      <c r="N24" s="177" t="str">
        <f>IF(AA23&lt;&gt;0,"振("&amp;TEXT(AB23,"0.0")&amp;"H)",IF(Y23&lt;&gt;0,"休保留",""))</f>
        <v/>
      </c>
      <c r="O24" s="7"/>
      <c r="P24" s="11"/>
      <c r="T24" s="174"/>
      <c r="U24" s="176">
        <f>VALUE(MID(T22,7,3))/10</f>
        <v>0</v>
      </c>
      <c r="V24" s="174"/>
      <c r="W24" s="174"/>
      <c r="X24" s="174"/>
      <c r="Y24" s="174"/>
    </row>
    <row r="25" spans="1:28" ht="13.5" customHeight="1">
      <c r="A25" s="133">
        <v>3</v>
      </c>
      <c r="B25" s="66"/>
      <c r="C25" s="67"/>
      <c r="D25" s="87"/>
      <c r="E25" s="87"/>
      <c r="F25" s="308" t="s">
        <v>112</v>
      </c>
      <c r="G25" s="100"/>
      <c r="H25" s="101"/>
      <c r="I25" s="102">
        <f>IF(AND(B26&lt;&gt;"",B26&lt;&gt;"-"),U25,"- ")</f>
        <v>0</v>
      </c>
      <c r="J25" s="103" t="s">
        <v>120</v>
      </c>
      <c r="K25" s="281"/>
      <c r="L25" s="282"/>
      <c r="M25" s="283"/>
      <c r="N25" s="104"/>
      <c r="O25" s="8"/>
      <c r="P25" s="11"/>
      <c r="T25" s="174" t="str">
        <f>ug_TIME(ROW(),C26,E26)</f>
        <v>00000000000000000</v>
      </c>
      <c r="U25" s="176">
        <f>VALUE(MID(T25,1,3))/10</f>
        <v>0</v>
      </c>
      <c r="V25" s="174"/>
      <c r="W25" s="174"/>
      <c r="X25" s="174"/>
      <c r="Y25" s="174"/>
    </row>
    <row r="26" spans="1:28" ht="13.5" customHeight="1">
      <c r="B26" s="83">
        <v>42381</v>
      </c>
      <c r="C26" s="189"/>
      <c r="D26" s="84" t="s">
        <v>105</v>
      </c>
      <c r="E26" s="190"/>
      <c r="F26" s="309"/>
      <c r="G26" s="108"/>
      <c r="H26" s="102"/>
      <c r="I26" s="102" t="str">
        <f>IF(AND(B26&lt;&gt;"",B26&lt;&gt;"-",U26&gt;0),U26,"- ")</f>
        <v xml:space="preserve">- </v>
      </c>
      <c r="J26" s="103" t="s">
        <v>120</v>
      </c>
      <c r="K26" s="284"/>
      <c r="L26" s="285"/>
      <c r="M26" s="286"/>
      <c r="N26" s="109">
        <f>N23+X26+AB26</f>
        <v>0</v>
      </c>
      <c r="O26" s="6"/>
      <c r="P26" s="11"/>
      <c r="T26" s="174"/>
      <c r="U26" s="176">
        <f>VALUE(MID(T25,4,3))/10</f>
        <v>0</v>
      </c>
      <c r="V26" s="174" t="str">
        <f>(TEXT(MID(T25,10,2),"0")&amp;":"&amp;TEXT(MID(T25,12,2),"00") )</f>
        <v>0:00</v>
      </c>
      <c r="W26" s="174" t="str">
        <f>(TEXT(MID(T25,14,2),"0")&amp;":"&amp;TEXT(MID(T25,16,2),"00") )</f>
        <v>0:00</v>
      </c>
      <c r="X26" s="174">
        <f>IF(OR(A25=1,A25=7,A25=9),0,U26)</f>
        <v>0</v>
      </c>
      <c r="Y26" s="174">
        <f>IF(OR(A25=1,A25=7,A25=9),U25,0)</f>
        <v>0</v>
      </c>
      <c r="Z26" s="174">
        <f>IF(Y26&lt;8,IF(AA23&lt;&gt;0,Y26,Z23+Y26),IF(AA23&lt;&gt;0,0,Z23))</f>
        <v>0</v>
      </c>
      <c r="AA26" s="174">
        <f>IF(Y26&lt;8,ROUNDDOWN(Z26/8,0),ROUNDDOWN(Y26/8,0))</f>
        <v>0</v>
      </c>
      <c r="AB26" s="174">
        <f>IF(Y26&lt;8,IF(AA26&gt;0,Z26-8*AA26,0),Y26-8)</f>
        <v>0</v>
      </c>
    </row>
    <row r="27" spans="1:28" ht="13.5" customHeight="1">
      <c r="B27" s="69" t="s">
        <v>100</v>
      </c>
      <c r="C27" s="312" t="str">
        <f>C24</f>
        <v>　シ　遅　早　代　休</v>
      </c>
      <c r="D27" s="275"/>
      <c r="E27" s="276"/>
      <c r="F27" s="310"/>
      <c r="G27" s="111" t="str">
        <f>IF(AND(B26&lt;&gt;"",B26&lt;&gt;"-",U27&gt;0),"(","")</f>
        <v/>
      </c>
      <c r="H27" s="112" t="str">
        <f>IF(AND(B26&lt;&gt;"",B26&lt;&gt;"-",U27&gt;0),"うち深夜","")</f>
        <v/>
      </c>
      <c r="I27" s="113" t="str">
        <f>IF(AND(B26&lt;&gt;"",B26&lt;&gt;"-",U27&gt;0),U27,"")</f>
        <v/>
      </c>
      <c r="J27" s="114" t="str">
        <f>IF(AND(B26&lt;&gt;"",B26&lt;&gt;"-",U27&gt;0),"H)","")</f>
        <v/>
      </c>
      <c r="K27" s="287"/>
      <c r="L27" s="288"/>
      <c r="M27" s="289"/>
      <c r="N27" s="177" t="str">
        <f>IF(AA26&lt;&gt;0,"振("&amp;TEXT(AB26,"0.0")&amp;"H)",IF(Y26&lt;&gt;0,"休保留",""))</f>
        <v/>
      </c>
      <c r="O27" s="7"/>
      <c r="P27" s="11"/>
      <c r="T27" s="174"/>
      <c r="U27" s="176">
        <f>VALUE(MID(T25,7,3))/10</f>
        <v>0</v>
      </c>
      <c r="V27" s="174"/>
      <c r="W27" s="174"/>
      <c r="X27" s="174"/>
      <c r="Y27" s="174"/>
    </row>
    <row r="28" spans="1:28" ht="13.5" customHeight="1">
      <c r="A28" s="133">
        <v>4</v>
      </c>
      <c r="B28" s="66"/>
      <c r="C28" s="67"/>
      <c r="D28" s="87"/>
      <c r="E28" s="87"/>
      <c r="F28" s="308" t="s">
        <v>112</v>
      </c>
      <c r="G28" s="100"/>
      <c r="H28" s="101"/>
      <c r="I28" s="102">
        <f>IF(AND(B29&lt;&gt;"",B29&lt;&gt;"-"),U28,"- ")</f>
        <v>0</v>
      </c>
      <c r="J28" s="103" t="s">
        <v>120</v>
      </c>
      <c r="K28" s="281"/>
      <c r="L28" s="282"/>
      <c r="M28" s="283"/>
      <c r="N28" s="104"/>
      <c r="O28" s="8"/>
      <c r="P28" s="11"/>
      <c r="T28" s="174" t="str">
        <f>ug_TIME(ROW(),C29,E29)</f>
        <v>00000000000000000</v>
      </c>
      <c r="U28" s="176">
        <f>VALUE(MID(T28,1,3))/10</f>
        <v>0</v>
      </c>
      <c r="V28" s="174"/>
      <c r="W28" s="174"/>
      <c r="X28" s="174"/>
      <c r="Y28" s="174"/>
    </row>
    <row r="29" spans="1:28" ht="13.5" customHeight="1">
      <c r="B29" s="83">
        <v>42382</v>
      </c>
      <c r="C29" s="189"/>
      <c r="D29" s="84" t="s">
        <v>105</v>
      </c>
      <c r="E29" s="190"/>
      <c r="F29" s="309"/>
      <c r="G29" s="108"/>
      <c r="H29" s="102"/>
      <c r="I29" s="102" t="str">
        <f>IF(AND(B29&lt;&gt;"",B29&lt;&gt;"-",U29&gt;0),U29,"- ")</f>
        <v xml:space="preserve">- </v>
      </c>
      <c r="J29" s="103" t="s">
        <v>120</v>
      </c>
      <c r="K29" s="284"/>
      <c r="L29" s="285"/>
      <c r="M29" s="286"/>
      <c r="N29" s="109">
        <f>N26+X29+AB29</f>
        <v>0</v>
      </c>
      <c r="O29" s="6"/>
      <c r="P29" s="11"/>
      <c r="T29" s="174"/>
      <c r="U29" s="176">
        <f>VALUE(MID(T28,4,3))/10</f>
        <v>0</v>
      </c>
      <c r="V29" s="174" t="str">
        <f>(TEXT(MID(T28,10,2),"0")&amp;":"&amp;TEXT(MID(T28,12,2),"00") )</f>
        <v>0:00</v>
      </c>
      <c r="W29" s="174" t="str">
        <f>(TEXT(MID(T28,14,2),"0")&amp;":"&amp;TEXT(MID(T28,16,2),"00") )</f>
        <v>0:00</v>
      </c>
      <c r="X29" s="174">
        <f>IF(OR(A28=1,A28=7,A28=9),0,U29)</f>
        <v>0</v>
      </c>
      <c r="Y29" s="174">
        <f>IF(OR(A28=1,A28=7,A28=9),U28,0)</f>
        <v>0</v>
      </c>
      <c r="Z29" s="174">
        <f>IF(Y29&lt;8,IF(AA26&lt;&gt;0,Y29,Z26+Y29),IF(AA26&lt;&gt;0,0,Z26))</f>
        <v>0</v>
      </c>
      <c r="AA29" s="174">
        <f>IF(Y29&lt;8,ROUNDDOWN(Z29/8,0),ROUNDDOWN(Y29/8,0))</f>
        <v>0</v>
      </c>
      <c r="AB29" s="174">
        <f>IF(Y29&lt;8,IF(AA29&gt;0,Z29-8*AA29,0),Y29-8)</f>
        <v>0</v>
      </c>
    </row>
    <row r="30" spans="1:28" ht="13.5" customHeight="1">
      <c r="B30" s="69" t="s">
        <v>101</v>
      </c>
      <c r="C30" s="312" t="str">
        <f>C27</f>
        <v>　シ　遅　早　代　休</v>
      </c>
      <c r="D30" s="275"/>
      <c r="E30" s="276"/>
      <c r="F30" s="310"/>
      <c r="G30" s="111" t="str">
        <f>IF(AND(B29&lt;&gt;"",B29&lt;&gt;"-",U30&gt;0),"(","")</f>
        <v/>
      </c>
      <c r="H30" s="112" t="str">
        <f>IF(AND(B29&lt;&gt;"",B29&lt;&gt;"-",U30&gt;0),"うち深夜","")</f>
        <v/>
      </c>
      <c r="I30" s="113" t="str">
        <f>IF(AND(B29&lt;&gt;"",B29&lt;&gt;"-",U30&gt;0),U30,"")</f>
        <v/>
      </c>
      <c r="J30" s="114" t="str">
        <f>IF(AND(B29&lt;&gt;"",B29&lt;&gt;"-",U30&gt;0),"H)","")</f>
        <v/>
      </c>
      <c r="K30" s="287"/>
      <c r="L30" s="288"/>
      <c r="M30" s="289"/>
      <c r="N30" s="177"/>
      <c r="O30" s="7"/>
      <c r="P30" s="11"/>
      <c r="T30" s="174"/>
      <c r="U30" s="176">
        <f>VALUE(MID(T28,7,3))/10</f>
        <v>0</v>
      </c>
      <c r="V30" s="174"/>
      <c r="W30" s="174"/>
      <c r="X30" s="174"/>
      <c r="Y30" s="174"/>
    </row>
    <row r="31" spans="1:28" ht="13.5" customHeight="1">
      <c r="A31" s="133">
        <v>5</v>
      </c>
      <c r="B31" s="66"/>
      <c r="C31" s="67"/>
      <c r="D31" s="87"/>
      <c r="E31" s="87"/>
      <c r="F31" s="308" t="s">
        <v>112</v>
      </c>
      <c r="G31" s="100"/>
      <c r="H31" s="101"/>
      <c r="I31" s="102">
        <f>IF(AND(B32&lt;&gt;"",B32&lt;&gt;"-"),U31,"- ")</f>
        <v>0</v>
      </c>
      <c r="J31" s="103" t="s">
        <v>120</v>
      </c>
      <c r="K31" s="298"/>
      <c r="L31" s="282"/>
      <c r="M31" s="283"/>
      <c r="N31" s="104"/>
      <c r="O31" s="8"/>
      <c r="P31" s="11"/>
      <c r="T31" s="174" t="str">
        <f>ug_TIME(ROW(),C32,E32)</f>
        <v>00000000000000000</v>
      </c>
      <c r="U31" s="176">
        <f>VALUE(MID(T31,1,3))/10</f>
        <v>0</v>
      </c>
      <c r="V31" s="174"/>
      <c r="W31" s="174"/>
      <c r="X31" s="174"/>
      <c r="Y31" s="174"/>
    </row>
    <row r="32" spans="1:28" ht="13.5" customHeight="1">
      <c r="B32" s="83">
        <v>42383</v>
      </c>
      <c r="C32" s="181"/>
      <c r="D32" s="84" t="s">
        <v>105</v>
      </c>
      <c r="E32" s="190"/>
      <c r="F32" s="309"/>
      <c r="G32" s="108"/>
      <c r="H32" s="102"/>
      <c r="I32" s="102" t="str">
        <f>IF(AND(B32&lt;&gt;"",B32&lt;&gt;"-",U32&gt;0),U32,"- ")</f>
        <v xml:space="preserve">- </v>
      </c>
      <c r="J32" s="103" t="s">
        <v>120</v>
      </c>
      <c r="K32" s="284"/>
      <c r="L32" s="285"/>
      <c r="M32" s="286"/>
      <c r="N32" s="109">
        <f>N29+X32+AB32</f>
        <v>0</v>
      </c>
      <c r="O32" s="6"/>
      <c r="P32" s="11"/>
      <c r="T32" s="174"/>
      <c r="U32" s="176">
        <f>VALUE(MID(T31,4,3))/10</f>
        <v>0</v>
      </c>
      <c r="V32" s="174" t="str">
        <f>(TEXT(MID(T31,10,2),"0")&amp;":"&amp;TEXT(MID(T31,12,2),"00") )</f>
        <v>0:00</v>
      </c>
      <c r="W32" s="174" t="str">
        <f>(TEXT(MID(T31,14,2),"0")&amp;":"&amp;TEXT(MID(T31,16,2),"00") )</f>
        <v>0:00</v>
      </c>
      <c r="X32" s="174">
        <f>IF(OR(A31=1,A31=7,A31=9),0,U32)</f>
        <v>0</v>
      </c>
      <c r="Y32" s="174">
        <f>IF(OR(A31=1,A31=7,A31=9),U31,0)</f>
        <v>0</v>
      </c>
      <c r="Z32" s="174">
        <f>IF(Y32&lt;8,IF(AA29&lt;&gt;0,Y32,Z29+Y32),IF(AA29&lt;&gt;0,0,Z29))</f>
        <v>0</v>
      </c>
      <c r="AA32" s="174">
        <f>IF(Y32&lt;8,ROUNDDOWN(Z32/8,0),ROUNDDOWN(Y32/8,0))</f>
        <v>0</v>
      </c>
      <c r="AB32" s="174">
        <f>IF(Y32&lt;8,IF(AA32&gt;0,Z32-8*AA32,0),Y32-8)</f>
        <v>0</v>
      </c>
    </row>
    <row r="33" spans="1:28" ht="13.5" customHeight="1">
      <c r="B33" s="69" t="s">
        <v>102</v>
      </c>
      <c r="C33" s="312" t="str">
        <f>C30</f>
        <v>　シ　遅　早　代　休</v>
      </c>
      <c r="D33" s="275"/>
      <c r="E33" s="276"/>
      <c r="F33" s="310"/>
      <c r="G33" s="111" t="str">
        <f>IF(AND(B32&lt;&gt;"",B32&lt;&gt;"-",U33&gt;0),"(","")</f>
        <v/>
      </c>
      <c r="H33" s="112" t="str">
        <f>IF(AND(B32&lt;&gt;"",B32&lt;&gt;"-",U33&gt;0),"うち深夜","")</f>
        <v/>
      </c>
      <c r="I33" s="113" t="str">
        <f>IF(AND(B32&lt;&gt;"",B32&lt;&gt;"-",U33&gt;0),U33,"")</f>
        <v/>
      </c>
      <c r="J33" s="114" t="str">
        <f>IF(AND(B32&lt;&gt;"",B32&lt;&gt;"-",U33&gt;0),"H)","")</f>
        <v/>
      </c>
      <c r="K33" s="287"/>
      <c r="L33" s="288"/>
      <c r="M33" s="289"/>
      <c r="N33" s="177" t="str">
        <f>IF(AA32&lt;&gt;0,"振("&amp;TEXT(AB32,"0.0")&amp;"H)",IF(Y32&lt;&gt;0,"休保留",""))</f>
        <v/>
      </c>
      <c r="O33" s="7"/>
      <c r="P33" s="11"/>
      <c r="T33" s="174"/>
      <c r="U33" s="176">
        <f>VALUE(MID(T31,7,3))/10</f>
        <v>0</v>
      </c>
      <c r="V33" s="174"/>
      <c r="W33" s="174"/>
      <c r="X33" s="174"/>
      <c r="Y33" s="174"/>
    </row>
    <row r="34" spans="1:28" ht="13.5" customHeight="1">
      <c r="A34" s="133">
        <v>6</v>
      </c>
      <c r="B34" s="66"/>
      <c r="C34" s="67"/>
      <c r="D34" s="87"/>
      <c r="E34" s="87"/>
      <c r="F34" s="308" t="s">
        <v>112</v>
      </c>
      <c r="G34" s="100"/>
      <c r="H34" s="101"/>
      <c r="I34" s="102">
        <f>IF(AND(B35&lt;&gt;"",B35&lt;&gt;"-"),U34,"- ")</f>
        <v>0</v>
      </c>
      <c r="J34" s="103" t="s">
        <v>120</v>
      </c>
      <c r="K34" s="298"/>
      <c r="L34" s="282"/>
      <c r="M34" s="283"/>
      <c r="N34" s="104"/>
      <c r="O34" s="8"/>
      <c r="P34" s="11"/>
      <c r="T34" s="174" t="str">
        <f>ug_TIME(ROW(),C35,E35)</f>
        <v>00000000000000000</v>
      </c>
      <c r="U34" s="176">
        <f>VALUE(MID(T34,1,3))/10</f>
        <v>0</v>
      </c>
      <c r="V34" s="174"/>
      <c r="W34" s="174"/>
      <c r="X34" s="174"/>
      <c r="Y34" s="174"/>
    </row>
    <row r="35" spans="1:28" ht="13.5" customHeight="1">
      <c r="B35" s="83">
        <v>42384</v>
      </c>
      <c r="C35" s="181"/>
      <c r="D35" s="84" t="s">
        <v>105</v>
      </c>
      <c r="E35" s="190"/>
      <c r="F35" s="309"/>
      <c r="G35" s="108"/>
      <c r="H35" s="102"/>
      <c r="I35" s="102" t="str">
        <f>IF(AND(B35&lt;&gt;"",B35&lt;&gt;"-",U35&gt;0),U35,"- ")</f>
        <v xml:space="preserve">- </v>
      </c>
      <c r="J35" s="103" t="s">
        <v>120</v>
      </c>
      <c r="K35" s="284"/>
      <c r="L35" s="285"/>
      <c r="M35" s="286"/>
      <c r="N35" s="109">
        <f>N32+X35+AB35</f>
        <v>0</v>
      </c>
      <c r="O35" s="6"/>
      <c r="P35" s="11"/>
      <c r="T35" s="174"/>
      <c r="U35" s="176">
        <f>VALUE(MID(T34,4,3))/10</f>
        <v>0</v>
      </c>
      <c r="V35" s="174" t="str">
        <f>(TEXT(MID(T34,10,2),"0")&amp;":"&amp;TEXT(MID(T34,12,2),"00") )</f>
        <v>0:00</v>
      </c>
      <c r="W35" s="174" t="str">
        <f>(TEXT(MID(T34,14,2),"0")&amp;":"&amp;TEXT(MID(T34,16,2),"00") )</f>
        <v>0:00</v>
      </c>
      <c r="X35" s="174">
        <f>IF(OR(A34=1,A34=7,A34=9),0,U35)</f>
        <v>0</v>
      </c>
      <c r="Y35" s="174">
        <f>IF(OR(A34=1,A34=7,A34=9),U34,0)</f>
        <v>0</v>
      </c>
      <c r="Z35" s="174">
        <f>IF(Y35&lt;8,IF(AA32&lt;&gt;0,Y35,Z32+Y35),IF(AA32&lt;&gt;0,0,Z32))</f>
        <v>0</v>
      </c>
      <c r="AA35" s="174">
        <f>ROUNDDOWN(Z35/8,0)</f>
        <v>0</v>
      </c>
      <c r="AB35" s="174">
        <f>IF(AA35&gt;0,Z35-8*AA35,0)</f>
        <v>0</v>
      </c>
    </row>
    <row r="36" spans="1:28" ht="13.5" customHeight="1">
      <c r="B36" s="69" t="s">
        <v>103</v>
      </c>
      <c r="C36" s="312" t="str">
        <f>C33</f>
        <v>　シ　遅　早　代　休</v>
      </c>
      <c r="D36" s="275"/>
      <c r="E36" s="276"/>
      <c r="F36" s="310"/>
      <c r="G36" s="111" t="str">
        <f>IF(AND(B35&lt;&gt;"",B35&lt;&gt;"-",U36&gt;0),"(","")</f>
        <v/>
      </c>
      <c r="H36" s="112" t="str">
        <f>IF(AND(B35&lt;&gt;"",B35&lt;&gt;"-",U36&gt;0),"うち深夜","")</f>
        <v/>
      </c>
      <c r="I36" s="113" t="str">
        <f>IF(AND(B35&lt;&gt;"",B35&lt;&gt;"-",U36&gt;0),U36,"")</f>
        <v/>
      </c>
      <c r="J36" s="114" t="str">
        <f>IF(AND(B35&lt;&gt;"",B35&lt;&gt;"-",U36&gt;0),"H)","")</f>
        <v/>
      </c>
      <c r="K36" s="287"/>
      <c r="L36" s="288"/>
      <c r="M36" s="289"/>
      <c r="N36" s="177" t="str">
        <f>IF(AA35&lt;&gt;0,"振("&amp;TEXT(AB35,"0.0")&amp;"H)",IF(Y35&lt;&gt;0,"休保留",""))</f>
        <v/>
      </c>
      <c r="O36" s="7"/>
      <c r="P36" s="11"/>
      <c r="T36" s="174"/>
      <c r="U36" s="176">
        <f>VALUE(MID(T34,7,3))/10</f>
        <v>0</v>
      </c>
      <c r="V36" s="174"/>
      <c r="W36" s="174"/>
      <c r="X36" s="174"/>
      <c r="Y36" s="174"/>
    </row>
    <row r="37" spans="1:28" ht="13.5" customHeight="1">
      <c r="A37" s="133">
        <v>7</v>
      </c>
      <c r="B37" s="66"/>
      <c r="C37" s="67"/>
      <c r="D37" s="87"/>
      <c r="E37" s="87"/>
      <c r="F37" s="308" t="s">
        <v>112</v>
      </c>
      <c r="G37" s="100"/>
      <c r="H37" s="101"/>
      <c r="I37" s="102">
        <f>IF(AND(B38&lt;&gt;"",B38&lt;&gt;"-"),U37,"- ")</f>
        <v>0</v>
      </c>
      <c r="J37" s="103" t="s">
        <v>120</v>
      </c>
      <c r="K37" s="298"/>
      <c r="L37" s="282"/>
      <c r="M37" s="283"/>
      <c r="N37" s="104"/>
      <c r="O37" s="8"/>
      <c r="P37" s="11"/>
      <c r="T37" s="174" t="str">
        <f>ug_TIME(ROW(),C38,E38)</f>
        <v>00000000000000000</v>
      </c>
      <c r="U37" s="176">
        <f>VALUE(MID(T37,1,3))/10</f>
        <v>0</v>
      </c>
      <c r="V37" s="174"/>
      <c r="W37" s="174"/>
      <c r="X37" s="174"/>
      <c r="Y37" s="174"/>
    </row>
    <row r="38" spans="1:28" ht="13.5" customHeight="1">
      <c r="B38" s="83">
        <v>42385</v>
      </c>
      <c r="C38" s="181"/>
      <c r="D38" s="84" t="s">
        <v>105</v>
      </c>
      <c r="E38" s="190"/>
      <c r="F38" s="309"/>
      <c r="G38" s="108"/>
      <c r="H38" s="102"/>
      <c r="I38" s="102" t="str">
        <f>IF(AND(B38&lt;&gt;"",B38&lt;&gt;"-",U38&gt;0),U38,"- ")</f>
        <v xml:space="preserve">- </v>
      </c>
      <c r="J38" s="103" t="s">
        <v>120</v>
      </c>
      <c r="K38" s="284"/>
      <c r="L38" s="285"/>
      <c r="M38" s="286"/>
      <c r="N38" s="109">
        <f>N35+X38+AB38</f>
        <v>0</v>
      </c>
      <c r="O38" s="6"/>
      <c r="P38" s="11"/>
      <c r="T38" s="174"/>
      <c r="U38" s="176">
        <f>VALUE(MID(T37,4,3))/10</f>
        <v>0</v>
      </c>
      <c r="V38" s="174" t="str">
        <f>(TEXT(MID(T37,10,2),"0")&amp;":"&amp;TEXT(MID(T37,12,2),"00") )</f>
        <v>0:00</v>
      </c>
      <c r="W38" s="174" t="str">
        <f>(TEXT(MID(T37,14,2),"0")&amp;":"&amp;TEXT(MID(T37,16,2),"00") )</f>
        <v>0:00</v>
      </c>
      <c r="X38" s="174">
        <f>IF(OR(A37=1,A37=7,A37=9),0,U38)</f>
        <v>0</v>
      </c>
      <c r="Y38" s="174">
        <f>IF(OR(A37=1,A37=7,A37=9),U37,0)</f>
        <v>0</v>
      </c>
      <c r="Z38" s="174">
        <f>IF(Y38&lt;8,IF(AA35&lt;&gt;0,Y38,Z35+Y38),IF(AA35&lt;&gt;0,0,Z35))</f>
        <v>0</v>
      </c>
      <c r="AA38" s="174">
        <f>ROUNDDOWN(Z38/8,0)</f>
        <v>0</v>
      </c>
      <c r="AB38" s="174">
        <f>IF(AA38&gt;0,Z38-8*AA38,0)</f>
        <v>0</v>
      </c>
    </row>
    <row r="39" spans="1:28" ht="13.5" customHeight="1">
      <c r="B39" s="71" t="s">
        <v>97</v>
      </c>
      <c r="C39" s="312" t="str">
        <f>C36</f>
        <v>　シ　遅　早　代　休</v>
      </c>
      <c r="D39" s="275"/>
      <c r="E39" s="276"/>
      <c r="F39" s="310"/>
      <c r="G39" s="111" t="str">
        <f>IF(AND(B38&lt;&gt;"",B38&lt;&gt;"-",U39&gt;0),"(","")</f>
        <v/>
      </c>
      <c r="H39" s="112" t="str">
        <f>IF(AND(B38&lt;&gt;"",B38&lt;&gt;"-",U39&gt;0),"うち深夜","")</f>
        <v/>
      </c>
      <c r="I39" s="113" t="str">
        <f>IF(AND(B38&lt;&gt;"",B38&lt;&gt;"-",U39&gt;0),U39,"")</f>
        <v/>
      </c>
      <c r="J39" s="114" t="str">
        <f>IF(AND(B38&lt;&gt;"",B38&lt;&gt;"-",U39&gt;0),"H)","")</f>
        <v/>
      </c>
      <c r="K39" s="287"/>
      <c r="L39" s="288"/>
      <c r="M39" s="289"/>
      <c r="N39" s="177" t="str">
        <f>IF(AA38&lt;&gt;0,"振("&amp;TEXT(AB38,"0.0")&amp;"H)",IF(Y38&lt;&gt;0,"休保留",""))</f>
        <v/>
      </c>
      <c r="O39" s="7"/>
      <c r="P39" s="11"/>
      <c r="T39" s="174"/>
      <c r="U39" s="176">
        <f>VALUE(MID(T37,7,3))/10</f>
        <v>0</v>
      </c>
      <c r="V39" s="174"/>
      <c r="W39" s="174"/>
      <c r="X39" s="174"/>
      <c r="Y39" s="174"/>
    </row>
    <row r="40" spans="1:28" ht="13.5" customHeight="1">
      <c r="A40" s="133">
        <v>1</v>
      </c>
      <c r="B40" s="66"/>
      <c r="C40" s="67"/>
      <c r="D40" s="87"/>
      <c r="E40" s="87"/>
      <c r="F40" s="308" t="s">
        <v>112</v>
      </c>
      <c r="G40" s="100"/>
      <c r="H40" s="101"/>
      <c r="I40" s="102">
        <f>IF(AND(B41&lt;&gt;"",B41&lt;&gt;"-"),U40,"- ")</f>
        <v>0</v>
      </c>
      <c r="J40" s="103" t="s">
        <v>120</v>
      </c>
      <c r="K40" s="298"/>
      <c r="L40" s="282"/>
      <c r="M40" s="283"/>
      <c r="N40" s="104"/>
      <c r="O40" s="8"/>
      <c r="P40" s="11"/>
      <c r="T40" s="174" t="str">
        <f>ug_TIME(ROW(),C41,E41)</f>
        <v>00000000000000000</v>
      </c>
      <c r="U40" s="176">
        <f>VALUE(MID(T40,1,3))/10</f>
        <v>0</v>
      </c>
      <c r="V40" s="174"/>
      <c r="W40" s="174"/>
      <c r="X40" s="174"/>
      <c r="Y40" s="174"/>
    </row>
    <row r="41" spans="1:28" ht="13.5" customHeight="1">
      <c r="B41" s="83">
        <v>42386</v>
      </c>
      <c r="C41" s="181"/>
      <c r="D41" s="84" t="s">
        <v>105</v>
      </c>
      <c r="E41" s="190"/>
      <c r="F41" s="309"/>
      <c r="G41" s="108"/>
      <c r="H41" s="102"/>
      <c r="I41" s="102" t="str">
        <f>IF(AND(B41&lt;&gt;"",B41&lt;&gt;"-",U41&gt;0),U41,"- ")</f>
        <v xml:space="preserve">- </v>
      </c>
      <c r="J41" s="103" t="s">
        <v>120</v>
      </c>
      <c r="K41" s="284"/>
      <c r="L41" s="285"/>
      <c r="M41" s="286"/>
      <c r="N41" s="109">
        <f>N38+X41+AB41</f>
        <v>0</v>
      </c>
      <c r="O41" s="6"/>
      <c r="P41" s="11"/>
      <c r="T41" s="174"/>
      <c r="U41" s="176">
        <f>VALUE(MID(T40,4,3))/10</f>
        <v>0</v>
      </c>
      <c r="V41" s="174" t="str">
        <f>(TEXT(MID(T40,10,2),"0")&amp;":"&amp;TEXT(MID(T40,12,2),"00") )</f>
        <v>0:00</v>
      </c>
      <c r="W41" s="174" t="str">
        <f>(TEXT(MID(T40,14,2),"0")&amp;":"&amp;TEXT(MID(T40,16,2),"00") )</f>
        <v>0:00</v>
      </c>
      <c r="X41" s="174">
        <f>IF(OR(A40=1,A40=7,A40=9),0,U41)</f>
        <v>0</v>
      </c>
      <c r="Y41" s="174">
        <f>IF(OR(A40=1,A40=7,A40=9),U40,0)</f>
        <v>0</v>
      </c>
      <c r="Z41" s="174">
        <f>IF(Y41&lt;8,IF(AA38&lt;&gt;0,Y41,Z38+Y41),IF(AA38&lt;&gt;0,0,Z38))</f>
        <v>0</v>
      </c>
      <c r="AA41" s="174">
        <f>ROUNDDOWN(Z41/8,0)</f>
        <v>0</v>
      </c>
      <c r="AB41" s="174">
        <f>IF(AA41&gt;0,Z41-8*AA41,0)</f>
        <v>0</v>
      </c>
    </row>
    <row r="42" spans="1:28" ht="13.5" customHeight="1">
      <c r="B42" s="73" t="s">
        <v>98</v>
      </c>
      <c r="C42" s="312" t="str">
        <f>C39</f>
        <v>　シ　遅　早　代　休</v>
      </c>
      <c r="D42" s="275"/>
      <c r="E42" s="276"/>
      <c r="F42" s="310"/>
      <c r="G42" s="111" t="str">
        <f>IF(AND(B41&lt;&gt;"",B41&lt;&gt;"-",U42&gt;0),"(","")</f>
        <v/>
      </c>
      <c r="H42" s="112" t="str">
        <f>IF(AND(B41&lt;&gt;"",B41&lt;&gt;"-",U42&gt;0),"うち深夜","")</f>
        <v/>
      </c>
      <c r="I42" s="113" t="str">
        <f>IF(AND(B41&lt;&gt;"",B41&lt;&gt;"-",U42&gt;0),U42,"")</f>
        <v/>
      </c>
      <c r="J42" s="114" t="str">
        <f>IF(AND(B41&lt;&gt;"",B41&lt;&gt;"-",U42&gt;0),"H)","")</f>
        <v/>
      </c>
      <c r="K42" s="287"/>
      <c r="L42" s="288"/>
      <c r="M42" s="289"/>
      <c r="N42" s="177" t="str">
        <f>IF(AA41&lt;&gt;0,"振("&amp;TEXT(AB41,"0.0")&amp;"H)",IF(Y41&lt;&gt;0,"休保留",""))</f>
        <v/>
      </c>
      <c r="O42" s="7"/>
      <c r="P42" s="11"/>
      <c r="T42" s="174"/>
      <c r="U42" s="176">
        <f>VALUE(MID(T40,7,3))/10</f>
        <v>0</v>
      </c>
      <c r="V42" s="174"/>
      <c r="W42" s="174"/>
      <c r="X42" s="174"/>
      <c r="Y42" s="174"/>
    </row>
    <row r="43" spans="1:28" ht="13.5" customHeight="1">
      <c r="A43" s="133">
        <v>2</v>
      </c>
      <c r="B43" s="66"/>
      <c r="C43" s="67"/>
      <c r="D43" s="87"/>
      <c r="E43" s="87"/>
      <c r="F43" s="308" t="s">
        <v>112</v>
      </c>
      <c r="G43" s="100"/>
      <c r="H43" s="101"/>
      <c r="I43" s="102">
        <f>IF(AND(B44&lt;&gt;"",B44&lt;&gt;"-"),U43,"- ")</f>
        <v>0</v>
      </c>
      <c r="J43" s="103" t="s">
        <v>120</v>
      </c>
      <c r="K43" s="298"/>
      <c r="L43" s="282"/>
      <c r="M43" s="283"/>
      <c r="N43" s="104"/>
      <c r="O43" s="8"/>
      <c r="P43" s="11"/>
      <c r="T43" s="174" t="str">
        <f>ug_TIME(ROW(),C44,E44)</f>
        <v>00000000000000000</v>
      </c>
      <c r="U43" s="176">
        <f>VALUE(MID(T43,1,3))/10</f>
        <v>0</v>
      </c>
      <c r="V43" s="174"/>
      <c r="W43" s="174"/>
      <c r="X43" s="174"/>
      <c r="Y43" s="174"/>
    </row>
    <row r="44" spans="1:28" ht="13.5" customHeight="1">
      <c r="B44" s="83">
        <v>42387</v>
      </c>
      <c r="C44" s="181"/>
      <c r="D44" s="84" t="s">
        <v>105</v>
      </c>
      <c r="E44" s="190"/>
      <c r="F44" s="309"/>
      <c r="G44" s="108"/>
      <c r="H44" s="102"/>
      <c r="I44" s="102" t="str">
        <f>IF(AND(B44&lt;&gt;"",B44&lt;&gt;"-",U44&gt;0),U44,"- ")</f>
        <v xml:space="preserve">- </v>
      </c>
      <c r="J44" s="103" t="s">
        <v>120</v>
      </c>
      <c r="K44" s="284"/>
      <c r="L44" s="285"/>
      <c r="M44" s="286"/>
      <c r="N44" s="109">
        <f>N41+X44+AB44</f>
        <v>0</v>
      </c>
      <c r="O44" s="6"/>
      <c r="P44" s="11"/>
      <c r="T44" s="174"/>
      <c r="U44" s="176">
        <f>VALUE(MID(T43,4,3))/10</f>
        <v>0</v>
      </c>
      <c r="V44" s="174" t="str">
        <f>(TEXT(MID(T43,10,2),"0")&amp;":"&amp;TEXT(MID(T43,12,2),"00") )</f>
        <v>0:00</v>
      </c>
      <c r="W44" s="174" t="str">
        <f>(TEXT(MID(T43,14,2),"0")&amp;":"&amp;TEXT(MID(T43,16,2),"00") )</f>
        <v>0:00</v>
      </c>
      <c r="X44" s="174">
        <f>IF(OR(A43=1,A43=7,A43=9),0,U44)</f>
        <v>0</v>
      </c>
      <c r="Y44" s="174">
        <f>IF(OR(A43=1,A43=7,A43=9),U43,0)</f>
        <v>0</v>
      </c>
      <c r="Z44" s="174">
        <f>IF(Y44&lt;8,IF(AA41&lt;&gt;0,Y44,Z41+Y44),IF(AA41&lt;&gt;0,0,Z41))</f>
        <v>0</v>
      </c>
      <c r="AA44" s="174">
        <f>ROUNDDOWN(Z44/8,0)</f>
        <v>0</v>
      </c>
      <c r="AB44" s="174">
        <f>IF(AA44&gt;0,Z44-8*AA44,0)</f>
        <v>0</v>
      </c>
    </row>
    <row r="45" spans="1:28" ht="13.5" customHeight="1">
      <c r="B45" s="69" t="s">
        <v>99</v>
      </c>
      <c r="C45" s="312" t="str">
        <f>C42</f>
        <v>　シ　遅　早　代　休</v>
      </c>
      <c r="D45" s="275"/>
      <c r="E45" s="276"/>
      <c r="F45" s="310"/>
      <c r="G45" s="111" t="str">
        <f>IF(AND(B44&lt;&gt;"",B44&lt;&gt;"-",U45&gt;0),"(","")</f>
        <v/>
      </c>
      <c r="H45" s="112" t="str">
        <f>IF(AND(B44&lt;&gt;"",B44&lt;&gt;"-",U45&gt;0),"うち深夜","")</f>
        <v/>
      </c>
      <c r="I45" s="113" t="str">
        <f>IF(AND(B44&lt;&gt;"",B44&lt;&gt;"-",U45&gt;0),U45,"")</f>
        <v/>
      </c>
      <c r="J45" s="114" t="str">
        <f>IF(AND(B44&lt;&gt;"",B44&lt;&gt;"-",U45&gt;0),"H)","")</f>
        <v/>
      </c>
      <c r="K45" s="287"/>
      <c r="L45" s="288"/>
      <c r="M45" s="289"/>
      <c r="N45" s="177" t="str">
        <f>IF(AA44&lt;&gt;0,"振("&amp;TEXT(AB44,"0.0")&amp;"H)",IF(Y44&lt;&gt;0,"休保留",""))</f>
        <v/>
      </c>
      <c r="O45" s="7"/>
      <c r="P45" s="11"/>
      <c r="T45" s="174"/>
      <c r="U45" s="176">
        <f>VALUE(MID(T43,7,3))/10</f>
        <v>0</v>
      </c>
      <c r="V45" s="174"/>
      <c r="W45" s="174"/>
      <c r="X45" s="174"/>
      <c r="Y45" s="174"/>
    </row>
    <row r="46" spans="1:28" ht="13.5" customHeight="1">
      <c r="A46" s="133">
        <v>3</v>
      </c>
      <c r="B46" s="66"/>
      <c r="C46" s="67"/>
      <c r="D46" s="87"/>
      <c r="E46" s="87"/>
      <c r="F46" s="308" t="s">
        <v>112</v>
      </c>
      <c r="G46" s="100"/>
      <c r="H46" s="101"/>
      <c r="I46" s="102">
        <f>IF(AND(B47&lt;&gt;"",B47&lt;&gt;"-"),U46,"- ")</f>
        <v>0</v>
      </c>
      <c r="J46" s="103" t="s">
        <v>120</v>
      </c>
      <c r="K46" s="281"/>
      <c r="L46" s="282"/>
      <c r="M46" s="283"/>
      <c r="N46" s="104"/>
      <c r="O46" s="8"/>
      <c r="P46" s="11"/>
      <c r="T46" s="174" t="str">
        <f>ug_TIME(ROW(),C47,E47)</f>
        <v>00000000000000000</v>
      </c>
      <c r="U46" s="176">
        <f>VALUE(MID(T46,1,3))/10</f>
        <v>0</v>
      </c>
      <c r="V46" s="174"/>
      <c r="W46" s="174"/>
      <c r="X46" s="174"/>
      <c r="Y46" s="174"/>
    </row>
    <row r="47" spans="1:28" ht="13.5" customHeight="1">
      <c r="B47" s="83">
        <v>42388</v>
      </c>
      <c r="C47" s="189"/>
      <c r="D47" s="84" t="s">
        <v>105</v>
      </c>
      <c r="E47" s="190"/>
      <c r="F47" s="309"/>
      <c r="G47" s="108"/>
      <c r="H47" s="102"/>
      <c r="I47" s="102" t="str">
        <f>IF(AND(B47&lt;&gt;"",B47&lt;&gt;"-",U47&gt;0),U47,"- ")</f>
        <v xml:space="preserve">- </v>
      </c>
      <c r="J47" s="103" t="s">
        <v>120</v>
      </c>
      <c r="K47" s="284"/>
      <c r="L47" s="285"/>
      <c r="M47" s="286"/>
      <c r="N47" s="109">
        <f>N44+X47+AB47</f>
        <v>0</v>
      </c>
      <c r="O47" s="6"/>
      <c r="P47" s="11"/>
      <c r="T47" s="174"/>
      <c r="U47" s="176">
        <f>VALUE(MID(T46,4,3))/10</f>
        <v>0</v>
      </c>
      <c r="V47" s="174" t="str">
        <f>(TEXT(MID(T46,10,2),"0")&amp;":"&amp;TEXT(MID(T46,12,2),"00") )</f>
        <v>0:00</v>
      </c>
      <c r="W47" s="174" t="str">
        <f>(TEXT(MID(T46,14,2),"0")&amp;":"&amp;TEXT(MID(T46,16,2),"00") )</f>
        <v>0:00</v>
      </c>
      <c r="X47" s="174">
        <f>IF(OR(A46=1,A46=7,A46=9),0,U47)</f>
        <v>0</v>
      </c>
      <c r="Y47" s="174">
        <f>IF(OR(A46=1,A46=7,A46=9),U46,0)</f>
        <v>0</v>
      </c>
      <c r="Z47" s="174">
        <f>IF(Y47&lt;8,IF(AA44&lt;&gt;0,Y47,Z44+Y47),IF(AA44&lt;&gt;0,0,Z44))</f>
        <v>0</v>
      </c>
      <c r="AA47" s="174">
        <f>ROUNDDOWN(Z47/8,0)</f>
        <v>0</v>
      </c>
      <c r="AB47" s="174">
        <f>IF(AA47&gt;0,Z47-8*AA47,0)</f>
        <v>0</v>
      </c>
    </row>
    <row r="48" spans="1:28" ht="13.5" customHeight="1">
      <c r="B48" s="69" t="s">
        <v>100</v>
      </c>
      <c r="C48" s="312" t="str">
        <f>C45</f>
        <v>　シ　遅　早　代　休</v>
      </c>
      <c r="D48" s="275"/>
      <c r="E48" s="276"/>
      <c r="F48" s="310"/>
      <c r="G48" s="111" t="str">
        <f>IF(AND(B47&lt;&gt;"",B47&lt;&gt;"-",U48&gt;0),"(","")</f>
        <v/>
      </c>
      <c r="H48" s="112" t="str">
        <f>IF(AND(B47&lt;&gt;"",B47&lt;&gt;"-",U48&gt;0),"うち深夜","")</f>
        <v/>
      </c>
      <c r="I48" s="113" t="str">
        <f>IF(AND(B47&lt;&gt;"",B47&lt;&gt;"-",U48&gt;0),U48,"")</f>
        <v/>
      </c>
      <c r="J48" s="114" t="str">
        <f>IF(AND(B47&lt;&gt;"",B47&lt;&gt;"-",U48&gt;0),"H)","")</f>
        <v/>
      </c>
      <c r="K48" s="287"/>
      <c r="L48" s="288"/>
      <c r="M48" s="289"/>
      <c r="N48" s="177" t="str">
        <f>IF(AA47&lt;&gt;0,"振("&amp;TEXT(AB47,"0.0")&amp;"H)",IF(Y47&lt;&gt;0,"休保留",""))</f>
        <v/>
      </c>
      <c r="O48" s="7"/>
      <c r="P48" s="11"/>
      <c r="T48" s="174"/>
      <c r="U48" s="176">
        <f>VALUE(MID(T46,7,3))/10</f>
        <v>0</v>
      </c>
      <c r="V48" s="174"/>
      <c r="W48" s="174"/>
      <c r="X48" s="174"/>
      <c r="Y48" s="174"/>
    </row>
    <row r="49" spans="1:28" ht="13.5" customHeight="1">
      <c r="A49" s="133">
        <v>4</v>
      </c>
      <c r="B49" s="66"/>
      <c r="C49" s="67"/>
      <c r="D49" s="87"/>
      <c r="E49" s="87"/>
      <c r="F49" s="308" t="s">
        <v>112</v>
      </c>
      <c r="G49" s="100"/>
      <c r="H49" s="101"/>
      <c r="I49" s="102">
        <f>IF(AND(B50&lt;&gt;"",B50&lt;&gt;"-"),U49,"- ")</f>
        <v>0</v>
      </c>
      <c r="J49" s="103" t="s">
        <v>120</v>
      </c>
      <c r="K49" s="281"/>
      <c r="L49" s="282"/>
      <c r="M49" s="283"/>
      <c r="N49" s="104"/>
      <c r="O49" s="8"/>
      <c r="P49" s="11"/>
      <c r="T49" s="174" t="str">
        <f>ug_TIME(ROW(),C50,E50)</f>
        <v>00000000000000000</v>
      </c>
      <c r="U49" s="176">
        <f>VALUE(MID(T49,1,3))/10</f>
        <v>0</v>
      </c>
      <c r="V49" s="174"/>
      <c r="W49" s="174"/>
      <c r="X49" s="174"/>
      <c r="Y49" s="174"/>
    </row>
    <row r="50" spans="1:28" ht="13.5" customHeight="1">
      <c r="B50" s="83">
        <v>42389</v>
      </c>
      <c r="C50" s="189"/>
      <c r="D50" s="84" t="s">
        <v>105</v>
      </c>
      <c r="E50" s="190"/>
      <c r="F50" s="309"/>
      <c r="G50" s="108"/>
      <c r="H50" s="102"/>
      <c r="I50" s="102" t="str">
        <f>IF(AND(B50&lt;&gt;"",B50&lt;&gt;"-",U50&gt;0),U50,"- ")</f>
        <v xml:space="preserve">- </v>
      </c>
      <c r="J50" s="103" t="s">
        <v>120</v>
      </c>
      <c r="K50" s="284"/>
      <c r="L50" s="285"/>
      <c r="M50" s="286"/>
      <c r="N50" s="109">
        <f>N47+X50+AB50</f>
        <v>0</v>
      </c>
      <c r="O50" s="6"/>
      <c r="P50" s="11"/>
      <c r="T50" s="174"/>
      <c r="U50" s="176">
        <f>VALUE(MID(T49,4,3))/10</f>
        <v>0</v>
      </c>
      <c r="V50" s="174" t="str">
        <f>(TEXT(MID(T49,10,2),"0")&amp;":"&amp;TEXT(MID(T49,12,2),"00") )</f>
        <v>0:00</v>
      </c>
      <c r="W50" s="174" t="str">
        <f>(TEXT(MID(T49,14,2),"0")&amp;":"&amp;TEXT(MID(T49,16,2),"00") )</f>
        <v>0:00</v>
      </c>
      <c r="X50" s="174">
        <f>IF(OR(A49=1,A49=7,A49=9),0,U50)</f>
        <v>0</v>
      </c>
      <c r="Y50" s="174">
        <f>IF(OR(A49=1,A49=7,A49=9),U49,0)</f>
        <v>0</v>
      </c>
      <c r="Z50" s="174">
        <f>IF(Y50&lt;8,IF(AA47&lt;&gt;0,Y50,Z47+Y50),IF(AA47&lt;&gt;0,0,Z47))</f>
        <v>0</v>
      </c>
      <c r="AA50" s="174">
        <f>ROUNDDOWN(Z50/8,0)</f>
        <v>0</v>
      </c>
      <c r="AB50" s="174">
        <f>IF(AA50&gt;0,Z50-8*AA50,0)</f>
        <v>0</v>
      </c>
    </row>
    <row r="51" spans="1:28" ht="13.5" customHeight="1">
      <c r="B51" s="69" t="s">
        <v>101</v>
      </c>
      <c r="C51" s="312" t="str">
        <f>C48</f>
        <v>　シ　遅　早　代　休</v>
      </c>
      <c r="D51" s="275"/>
      <c r="E51" s="276"/>
      <c r="F51" s="310"/>
      <c r="G51" s="111" t="str">
        <f>IF(AND(B50&lt;&gt;"",B50&lt;&gt;"-",U51&gt;0),"(","")</f>
        <v/>
      </c>
      <c r="H51" s="112" t="str">
        <f>IF(AND(B50&lt;&gt;"",B50&lt;&gt;"-",U51&gt;0),"うち深夜","")</f>
        <v/>
      </c>
      <c r="I51" s="113" t="str">
        <f>IF(AND(B50&lt;&gt;"",B50&lt;&gt;"-",U51&gt;0),U51,"")</f>
        <v/>
      </c>
      <c r="J51" s="114" t="str">
        <f>IF(AND(B50&lt;&gt;"",B50&lt;&gt;"-",U51&gt;0),"H)","")</f>
        <v/>
      </c>
      <c r="K51" s="287"/>
      <c r="L51" s="288"/>
      <c r="M51" s="289"/>
      <c r="N51" s="177" t="str">
        <f>IF(AA50&lt;&gt;0,"振("&amp;TEXT(AB50,"0.0")&amp;"H)",IF(Y50&lt;&gt;0,"休保留",""))</f>
        <v/>
      </c>
      <c r="O51" s="7"/>
      <c r="P51" s="11"/>
      <c r="T51" s="174"/>
      <c r="U51" s="176">
        <f>VALUE(MID(T49,7,3))/10</f>
        <v>0</v>
      </c>
      <c r="V51" s="174"/>
      <c r="W51" s="174"/>
      <c r="X51" s="174"/>
      <c r="Y51" s="174"/>
    </row>
    <row r="52" spans="1:28" ht="13.5" customHeight="1">
      <c r="B52" s="66"/>
      <c r="C52" s="85"/>
      <c r="D52" s="87"/>
      <c r="E52" s="87"/>
      <c r="F52" s="308" t="s">
        <v>112</v>
      </c>
      <c r="G52" s="100"/>
      <c r="H52" s="101"/>
      <c r="I52" s="102" t="str">
        <f>IF(AND(B53&lt;&gt;"",B53&lt;&gt;"-"),U52,"- ")</f>
        <v xml:space="preserve">- </v>
      </c>
      <c r="J52" s="103" t="s">
        <v>120</v>
      </c>
      <c r="K52" s="298"/>
      <c r="L52" s="282"/>
      <c r="M52" s="283"/>
      <c r="N52" s="178"/>
      <c r="O52" s="8"/>
      <c r="P52" s="11"/>
      <c r="T52" s="174" t="str">
        <f>ug_TIME(ROW(),C53,E53)</f>
        <v>00000000000000000</v>
      </c>
      <c r="U52" s="176">
        <f>VALUE(MID(T52,1,3))/10</f>
        <v>0</v>
      </c>
      <c r="V52" s="174"/>
      <c r="W52" s="174"/>
      <c r="X52" s="174"/>
      <c r="Y52" s="174"/>
    </row>
    <row r="53" spans="1:28" ht="13.5" customHeight="1">
      <c r="B53" s="83" t="s">
        <v>122</v>
      </c>
      <c r="C53" s="189"/>
      <c r="D53" s="84" t="s">
        <v>105</v>
      </c>
      <c r="E53" s="190"/>
      <c r="F53" s="309"/>
      <c r="G53" s="108"/>
      <c r="H53" s="102"/>
      <c r="I53" s="102" t="str">
        <f>IF(AND(B53&lt;&gt;"",B53&lt;&gt;"-",U53&gt;0),U53,"- ")</f>
        <v xml:space="preserve">- </v>
      </c>
      <c r="J53" s="103" t="s">
        <v>120</v>
      </c>
      <c r="K53" s="284"/>
      <c r="L53" s="285"/>
      <c r="M53" s="286"/>
      <c r="N53" s="120">
        <f>N50+X53+AB53</f>
        <v>0</v>
      </c>
      <c r="O53" s="6"/>
      <c r="P53" s="11"/>
      <c r="T53" s="174"/>
      <c r="U53" s="176">
        <f>VALUE(MID(T52,4,3))/10</f>
        <v>0</v>
      </c>
      <c r="V53" s="174" t="str">
        <f>(TEXT(MID(T52,10,2),"0")&amp;":"&amp;TEXT(MID(T52,12,2),"00") )</f>
        <v>0:00</v>
      </c>
      <c r="W53" s="174" t="str">
        <f>(TEXT(MID(T52,14,2),"0")&amp;":"&amp;TEXT(MID(T52,16,2),"00") )</f>
        <v>0:00</v>
      </c>
      <c r="X53" s="174">
        <f>IF(OR(A52=1,A52=7,A52=9),0,U53)</f>
        <v>0</v>
      </c>
      <c r="Y53" s="174">
        <f>IF(OR(A52=1,A52=7,A52=9),U52,0)</f>
        <v>0</v>
      </c>
      <c r="Z53" s="174">
        <f>IF(Y53&lt;8,IF(AA50&lt;&gt;0,Y53,Z50+Y53),IF(AA50&lt;&gt;0,0,Z50))</f>
        <v>0</v>
      </c>
      <c r="AA53" s="174">
        <f>ROUNDDOWN(Z53/8,0)</f>
        <v>0</v>
      </c>
      <c r="AB53" s="174">
        <f>IF(AA53&gt;0,Z53-8*AA53,0)</f>
        <v>0</v>
      </c>
    </row>
    <row r="54" spans="1:28" ht="13.5" customHeight="1">
      <c r="B54" s="69"/>
      <c r="C54" s="312" t="str">
        <f>C51</f>
        <v>　シ　遅　早　代　休</v>
      </c>
      <c r="D54" s="275"/>
      <c r="E54" s="276"/>
      <c r="F54" s="310"/>
      <c r="G54" s="111" t="str">
        <f>IF(AND(B53&lt;&gt;"",B53&lt;&gt;"-",U54&gt;0),"(","")</f>
        <v/>
      </c>
      <c r="H54" s="112" t="str">
        <f>IF(AND(B53&lt;&gt;"",B53&lt;&gt;"-",U54&gt;0),"うち深夜","")</f>
        <v/>
      </c>
      <c r="I54" s="113" t="str">
        <f>IF(AND(B53&lt;&gt;"",B53&lt;&gt;"-",U54&gt;0),U54,"")</f>
        <v/>
      </c>
      <c r="J54" s="114" t="str">
        <f>IF(AND(B53&lt;&gt;"",B53&lt;&gt;"-",U54&gt;0),"H)","")</f>
        <v/>
      </c>
      <c r="K54" s="287"/>
      <c r="L54" s="288"/>
      <c r="M54" s="289"/>
      <c r="N54" s="270" t="str">
        <f>IF(AA53&lt;&gt;0,"振("&amp;TEXT(AB53,"0.0")&amp;"H)",IF(Y53&lt;&gt;0,"休保留",""))</f>
        <v/>
      </c>
      <c r="O54" s="7"/>
      <c r="P54" s="11"/>
      <c r="T54" s="174"/>
      <c r="U54" s="176">
        <f>VALUE(MID(T52,7,3))/10</f>
        <v>0</v>
      </c>
      <c r="V54" s="174"/>
      <c r="W54" s="174"/>
      <c r="X54" s="174"/>
      <c r="Y54" s="174"/>
    </row>
    <row r="55" spans="1:28" ht="13.5" customHeight="1">
      <c r="B55" s="88" t="s">
        <v>72</v>
      </c>
      <c r="C55" s="48"/>
      <c r="D55" s="48"/>
      <c r="E55" s="134" t="str">
        <f>"既定勤務時間 "&amp;TEXT(パラメタ!E18,"h:mm")&amp;"～"&amp;TEXT(パラメタ!F18,"h:mm")</f>
        <v>既定勤務時間 8:30～17:30</v>
      </c>
      <c r="F55" s="134"/>
      <c r="G55" s="135"/>
      <c r="H55" s="135"/>
      <c r="I55" s="135"/>
      <c r="J55" s="134" t="str">
        <f>"休憩時間 "&amp;TEXT(パラメタ!E19,"h:mm")&amp;"～"&amp;TEXT(パラメタ!F19,"h:mm")&amp;"  "&amp;TEXT(パラメタ!E22,"h:mm")&amp;"～"&amp;TEXT(パラメタ!F22,"h:mm")</f>
        <v>休憩時間 12:00～13:00  4:30～5:00</v>
      </c>
      <c r="L55" s="135"/>
      <c r="M55" s="191"/>
      <c r="N55" s="192" t="str">
        <f>IF(Z53&lt;&gt;0,"休日"&amp;TEXT(Z53,"0.0")&amp;"H","")</f>
        <v/>
      </c>
      <c r="O55" s="50"/>
    </row>
    <row r="56" spans="1:28" ht="13.5" customHeight="1">
      <c r="B56" s="51"/>
      <c r="C56" s="266" t="str">
        <f>IF('勤務報告書(下)'!U56&gt;パラメタ!F11,"残業累計が"&amp;TEXT(パラメタ!F11,"0.0")&amp;"Hを超えています。","")</f>
        <v/>
      </c>
      <c r="D56" s="52"/>
      <c r="F56" s="136"/>
      <c r="G56" s="136"/>
      <c r="H56" s="136"/>
      <c r="I56" s="136"/>
      <c r="J56" s="137" t="str">
        <f>"　　　　 "&amp;TEXT(パラメタ!E20,"h:mm")&amp;"～"&amp;TEXT(パラメタ!F20,"h:mm")&amp;"  "&amp;TEXT(パラメタ!E23,"h:mm")&amp;"～"&amp;TEXT(パラメタ!F23,"h:mm")</f>
        <v>　　　　 17:30～18:00  8:00～8:30</v>
      </c>
      <c r="L56" s="136"/>
      <c r="M56" s="137"/>
      <c r="N56" s="193" t="str">
        <f>IF(Z53&lt;&gt;0,"合計"&amp;TEXT(N53+Z53,"0.0")&amp;"H","")</f>
        <v/>
      </c>
      <c r="O56" s="54"/>
      <c r="T56" s="174" t="s">
        <v>160</v>
      </c>
      <c r="U56" s="199">
        <f>N53+Z53</f>
        <v>0</v>
      </c>
    </row>
    <row r="57" spans="1:28" ht="13.5" customHeight="1">
      <c r="B57" s="55"/>
      <c r="C57" s="267" t="str">
        <f>IF('勤務報告書(下)'!U56&gt;パラメタ!F11,"繁忙期申請の有無を記入してください。","")</f>
        <v/>
      </c>
      <c r="D57" s="56"/>
      <c r="F57" s="138"/>
      <c r="G57" s="138"/>
      <c r="H57" s="138"/>
      <c r="I57" s="138"/>
      <c r="J57" s="139" t="str">
        <f>"　　　　 "&amp;TEXT(パラメタ!E21,"h:mm")&amp;"～"&amp;TEXT(パラメタ!F21,"h:mm")</f>
        <v>　　　　 21:30～22:00</v>
      </c>
      <c r="K57" s="138"/>
      <c r="L57" s="138"/>
      <c r="M57" s="138"/>
      <c r="N57" s="194"/>
      <c r="O57" s="58"/>
    </row>
    <row r="58" spans="1:28" ht="13.5" customHeight="1">
      <c r="B58" s="19"/>
      <c r="C58" s="48"/>
      <c r="D58" s="48"/>
      <c r="E58" s="49"/>
      <c r="F58" s="135"/>
      <c r="G58" s="135"/>
      <c r="H58" s="135"/>
      <c r="I58" s="135"/>
      <c r="J58" s="135"/>
      <c r="K58" s="135"/>
      <c r="L58" s="135"/>
      <c r="M58" s="135"/>
      <c r="N58" s="135"/>
      <c r="O58" s="50"/>
    </row>
    <row r="59" spans="1:28" ht="15" customHeight="1">
      <c r="B59" s="26"/>
      <c r="C59" s="56"/>
      <c r="D59" s="56"/>
      <c r="E59" s="57"/>
      <c r="F59" s="138"/>
      <c r="G59" s="138"/>
      <c r="H59" s="138"/>
      <c r="I59" s="138"/>
      <c r="J59" s="138"/>
      <c r="K59" s="138"/>
      <c r="L59" s="138"/>
      <c r="M59" s="138"/>
      <c r="N59" s="138"/>
      <c r="O59" s="58"/>
    </row>
    <row r="60" spans="1:28" ht="13.5" customHeight="1">
      <c r="O60" s="129" t="str">
        <f>パラメタ!E2</f>
        <v>Ver2.0</v>
      </c>
    </row>
  </sheetData>
  <sheetProtection sheet="1" objects="1" scenarios="1"/>
  <mergeCells count="53">
    <mergeCell ref="C39:E39"/>
    <mergeCell ref="C54:E54"/>
    <mergeCell ref="C42:E42"/>
    <mergeCell ref="C45:E45"/>
    <mergeCell ref="C48:E48"/>
    <mergeCell ref="C51:E51"/>
    <mergeCell ref="F22:F24"/>
    <mergeCell ref="K22:M24"/>
    <mergeCell ref="C21:E21"/>
    <mergeCell ref="C33:E33"/>
    <mergeCell ref="C36:E36"/>
    <mergeCell ref="C27:E27"/>
    <mergeCell ref="C15:E15"/>
    <mergeCell ref="C18:E18"/>
    <mergeCell ref="C24:E24"/>
    <mergeCell ref="C30:E30"/>
    <mergeCell ref="M1:O1"/>
    <mergeCell ref="F52:F54"/>
    <mergeCell ref="F49:F51"/>
    <mergeCell ref="K49:M51"/>
    <mergeCell ref="K52:M54"/>
    <mergeCell ref="F46:F48"/>
    <mergeCell ref="F43:F45"/>
    <mergeCell ref="K43:M45"/>
    <mergeCell ref="F37:F39"/>
    <mergeCell ref="K37:M39"/>
    <mergeCell ref="K13:M15"/>
    <mergeCell ref="F19:F21"/>
    <mergeCell ref="K19:M21"/>
    <mergeCell ref="F28:F30"/>
    <mergeCell ref="K28:M30"/>
    <mergeCell ref="F25:F27"/>
    <mergeCell ref="C4:D4"/>
    <mergeCell ref="G4:H4"/>
    <mergeCell ref="I4:K4"/>
    <mergeCell ref="C9:E9"/>
    <mergeCell ref="C12:E12"/>
    <mergeCell ref="N5:N6"/>
    <mergeCell ref="K7:M9"/>
    <mergeCell ref="K10:M12"/>
    <mergeCell ref="F7:F9"/>
    <mergeCell ref="K46:M48"/>
    <mergeCell ref="F40:F42"/>
    <mergeCell ref="K40:M42"/>
    <mergeCell ref="F34:F36"/>
    <mergeCell ref="K34:M36"/>
    <mergeCell ref="F10:F12"/>
    <mergeCell ref="F31:F33"/>
    <mergeCell ref="K31:M33"/>
    <mergeCell ref="F16:F18"/>
    <mergeCell ref="K16:M18"/>
    <mergeCell ref="F13:F15"/>
    <mergeCell ref="K25:M27"/>
  </mergeCells>
  <phoneticPr fontId="4"/>
  <dataValidations count="1">
    <dataValidation type="list" allowBlank="1" showInputMessage="1" showErrorMessage="1" sqref="F4">
      <formula1>役職リスト</formula1>
    </dataValidation>
  </dataValidations>
  <printOptions gridLinesSet="0"/>
  <pageMargins left="0.33" right="0.2" top="0.41" bottom="0.33" header="0.31" footer="0.23"/>
  <pageSetup paperSize="9" orientation="portrait" horizontalDpi="4294967293" r:id="rId1"/>
  <headerFooter alignWithMargins="0"/>
  <drawing r:id="rId2"/>
  <legacyDrawing r:id="rId3"/>
  <controls>
    <control shapeId="9219" r:id="rId4" name="CheckK011"/>
    <control shapeId="9221" r:id="rId5" name="CheckK012"/>
    <control shapeId="9223" r:id="rId6" name="CheckK013"/>
    <control shapeId="9225" r:id="rId7" name="CheckK014"/>
    <control shapeId="9227" r:id="rId8" name="CheckK015"/>
    <control shapeId="9235" r:id="rId9" name="CheckK021"/>
    <control shapeId="9237" r:id="rId10" name="CheckK022"/>
    <control shapeId="9239" r:id="rId11" name="CheckK023"/>
    <control shapeId="9241" r:id="rId12" name="CheckK024"/>
    <control shapeId="9243" r:id="rId13" name="CheckK025"/>
    <control shapeId="9249" r:id="rId14" name="CheckK031"/>
    <control shapeId="9251" r:id="rId15" name="CheckK032"/>
    <control shapeId="9253" r:id="rId16" name="CheckK033"/>
    <control shapeId="9255" r:id="rId17" name="CheckK034"/>
    <control shapeId="9257" r:id="rId18" name="CheckK035"/>
    <control shapeId="9263" r:id="rId19" name="CheckK041"/>
    <control shapeId="9265" r:id="rId20" name="CheckK042"/>
    <control shapeId="9267" r:id="rId21" name="CheckK043"/>
    <control shapeId="9269" r:id="rId22" name="CheckK044"/>
    <control shapeId="9271" r:id="rId23" name="CheckK045"/>
    <control shapeId="9277" r:id="rId24" name="CheckK051"/>
    <control shapeId="9279" r:id="rId25" name="CheckK052"/>
    <control shapeId="9281" r:id="rId26" name="CheckK053"/>
    <control shapeId="9283" r:id="rId27" name="CheckK054"/>
    <control shapeId="9285" r:id="rId28" name="CheckK055"/>
    <control shapeId="9291" r:id="rId29" name="CheckK061"/>
    <control shapeId="9293" r:id="rId30" name="CheckK062"/>
    <control shapeId="9295" r:id="rId31" name="CheckK063"/>
    <control shapeId="9297" r:id="rId32" name="CheckK064"/>
    <control shapeId="9299" r:id="rId33" name="CheckK065"/>
    <control shapeId="9305" r:id="rId34" name="CheckK071"/>
    <control shapeId="9307" r:id="rId35" name="CheckK072"/>
    <control shapeId="9309" r:id="rId36" name="CheckK073"/>
    <control shapeId="9311" r:id="rId37" name="CheckK074"/>
    <control shapeId="9313" r:id="rId38" name="CheckK075"/>
    <control shapeId="9319" r:id="rId39" name="CheckK081"/>
    <control shapeId="9321" r:id="rId40" name="CheckK082"/>
    <control shapeId="9323" r:id="rId41" name="CheckK083"/>
    <control shapeId="9325" r:id="rId42" name="CheckK084"/>
    <control shapeId="9327" r:id="rId43" name="CheckK085"/>
    <control shapeId="9333" r:id="rId44" name="CheckK091"/>
    <control shapeId="9335" r:id="rId45" name="CheckK092"/>
    <control shapeId="9337" r:id="rId46" name="CheckK093"/>
    <control shapeId="9339" r:id="rId47" name="CheckK094"/>
    <control shapeId="9341" r:id="rId48" name="CheckK095"/>
    <control shapeId="9347" r:id="rId49" name="CheckK101"/>
    <control shapeId="9349" r:id="rId50" name="CheckK102"/>
    <control shapeId="9351" r:id="rId51" name="CheckK103"/>
    <control shapeId="9353" r:id="rId52" name="CheckK104"/>
    <control shapeId="9355" r:id="rId53" name="CheckK105"/>
    <control shapeId="9361" r:id="rId54" name="CheckK111"/>
    <control shapeId="9363" r:id="rId55" name="CheckK112"/>
    <control shapeId="9365" r:id="rId56" name="CheckK113"/>
    <control shapeId="9367" r:id="rId57" name="CheckK114"/>
    <control shapeId="9369" r:id="rId58" name="CheckK115"/>
    <control shapeId="9375" r:id="rId59" name="CheckK121"/>
    <control shapeId="9377" r:id="rId60" name="CheckK122"/>
    <control shapeId="9379" r:id="rId61" name="CheckK123"/>
    <control shapeId="9381" r:id="rId62" name="CheckK124"/>
    <control shapeId="9383" r:id="rId63" name="CheckK125"/>
    <control shapeId="9389" r:id="rId64" name="CheckK131"/>
    <control shapeId="9391" r:id="rId65" name="CheckK132"/>
    <control shapeId="9393" r:id="rId66" name="CheckK133"/>
    <control shapeId="9395" r:id="rId67" name="CheckK134"/>
    <control shapeId="9397" r:id="rId68" name="CheckK135"/>
    <control shapeId="9403" r:id="rId69" name="CheckK141"/>
    <control shapeId="9405" r:id="rId70" name="CheckK142"/>
    <control shapeId="9407" r:id="rId71" name="CheckK143"/>
    <control shapeId="9409" r:id="rId72" name="CheckK144"/>
    <control shapeId="9411" r:id="rId73" name="CheckK145"/>
    <control shapeId="9417" r:id="rId74" name="CheckK151"/>
    <control shapeId="9419" r:id="rId75" name="CheckK152"/>
    <control shapeId="9421" r:id="rId76" name="CheckK153"/>
    <control shapeId="9423" r:id="rId77" name="CheckK154"/>
    <control shapeId="9425" r:id="rId78" name="CheckK155"/>
    <control shapeId="9431" r:id="rId79" name="CheckK161"/>
    <control shapeId="9433" r:id="rId80" name="CheckK162"/>
    <control shapeId="9435" r:id="rId81" name="CheckK163"/>
    <control shapeId="9437" r:id="rId82" name="CheckK164"/>
    <control shapeId="9439" r:id="rId83" name="CheckK165"/>
    <control shapeId="9445" r:id="rId84" name="CheckB011"/>
    <control shapeId="9446" r:id="rId85" name="CheckB013"/>
    <control shapeId="9447" r:id="rId86" name="CheckB012"/>
    <control shapeId="9448" r:id="rId87" name="CheckB014"/>
    <control shapeId="9449" r:id="rId88" name="CheckB021"/>
    <control shapeId="9450" r:id="rId89" name="CheckB023"/>
    <control shapeId="9451" r:id="rId90" name="CheckB022"/>
    <control shapeId="9452" r:id="rId91" name="CheckB024"/>
    <control shapeId="9453" r:id="rId92" name="CheckB031"/>
    <control shapeId="9454" r:id="rId93" name="CheckB033"/>
    <control shapeId="9455" r:id="rId94" name="CheckB032"/>
    <control shapeId="9456" r:id="rId95" name="CheckB034"/>
    <control shapeId="9457" r:id="rId96" name="CheckB041"/>
    <control shapeId="9458" r:id="rId97" name="CheckB043"/>
    <control shapeId="9459" r:id="rId98" name="CheckB042"/>
    <control shapeId="9460" r:id="rId99" name="CheckB044"/>
    <control shapeId="9461" r:id="rId100" name="CheckB051"/>
    <control shapeId="9462" r:id="rId101" name="CheckB053"/>
    <control shapeId="9463" r:id="rId102" name="CheckB052"/>
    <control shapeId="9464" r:id="rId103" name="CheckB054"/>
    <control shapeId="9465" r:id="rId104" name="CheckB061"/>
    <control shapeId="9466" r:id="rId105" name="CheckB063"/>
    <control shapeId="9467" r:id="rId106" name="CheckB062"/>
    <control shapeId="9468" r:id="rId107" name="CheckB064"/>
    <control shapeId="9469" r:id="rId108" name="CheckB071"/>
    <control shapeId="9470" r:id="rId109" name="CheckB073"/>
    <control shapeId="9471" r:id="rId110" name="CheckB072"/>
    <control shapeId="9472" r:id="rId111" name="CheckB074"/>
    <control shapeId="9473" r:id="rId112" name="CheckB081"/>
    <control shapeId="9474" r:id="rId113" name="CheckB083"/>
    <control shapeId="9475" r:id="rId114" name="CheckB082"/>
    <control shapeId="9476" r:id="rId115" name="CheckB084"/>
    <control shapeId="9477" r:id="rId116" name="CheckB091"/>
    <control shapeId="9478" r:id="rId117" name="CheckB093"/>
    <control shapeId="9479" r:id="rId118" name="CheckB092"/>
    <control shapeId="9480" r:id="rId119" name="CheckB094"/>
    <control shapeId="9481" r:id="rId120" name="CheckB101"/>
    <control shapeId="9482" r:id="rId121" name="CheckB103"/>
    <control shapeId="9483" r:id="rId122" name="CheckB102"/>
    <control shapeId="9484" r:id="rId123" name="CheckB104"/>
    <control shapeId="9485" r:id="rId124" name="CheckB111"/>
    <control shapeId="9486" r:id="rId125" name="CheckB113"/>
    <control shapeId="9487" r:id="rId126" name="CheckB112"/>
    <control shapeId="9488" r:id="rId127" name="CheckB114"/>
    <control shapeId="9489" r:id="rId128" name="CheckB121"/>
    <control shapeId="9490" r:id="rId129" name="CheckB123"/>
    <control shapeId="9491" r:id="rId130" name="CheckB122"/>
    <control shapeId="9492" r:id="rId131" name="CheckB124"/>
    <control shapeId="9493" r:id="rId132" name="CheckB131"/>
    <control shapeId="9494" r:id="rId133" name="CheckB133"/>
    <control shapeId="9495" r:id="rId134" name="CheckB132"/>
    <control shapeId="9496" r:id="rId135" name="CheckB134"/>
    <control shapeId="9497" r:id="rId136" name="CheckB141"/>
    <control shapeId="9498" r:id="rId137" name="CheckB143"/>
    <control shapeId="9499" r:id="rId138" name="CheckB142"/>
    <control shapeId="9500" r:id="rId139" name="CheckB144"/>
    <control shapeId="9501" r:id="rId140" name="CheckB151"/>
    <control shapeId="9502" r:id="rId141" name="CheckB153"/>
    <control shapeId="9503" r:id="rId142" name="CheckB152"/>
    <control shapeId="9504" r:id="rId143" name="CheckB154"/>
    <control shapeId="9505" r:id="rId144" name="CheckB161"/>
    <control shapeId="9506" r:id="rId145" name="CheckB163"/>
    <control shapeId="9507" r:id="rId146" name="CheckB162"/>
    <control shapeId="9508" r:id="rId147" name="CheckB164"/>
  </controls>
</worksheet>
</file>

<file path=xl/worksheets/sheet4.xml><?xml version="1.0" encoding="utf-8"?>
<worksheet xmlns="http://schemas.openxmlformats.org/spreadsheetml/2006/main" xmlns:r="http://schemas.openxmlformats.org/officeDocument/2006/relationships">
  <sheetPr codeName="Sheet7"/>
  <dimension ref="A1:N60"/>
  <sheetViews>
    <sheetView showGridLines="0" tabSelected="1" workbookViewId="0">
      <pane ySplit="6" topLeftCell="A7" activePane="bottomLeft" state="frozen"/>
      <selection activeCell="K16" sqref="K16:M18"/>
      <selection pane="bottomLeft" activeCell="R5" sqref="R5"/>
    </sheetView>
  </sheetViews>
  <sheetFormatPr defaultRowHeight="12"/>
  <cols>
    <col min="1" max="1" width="1.5703125" style="173" customWidth="1"/>
    <col min="2" max="2" width="7.28515625" style="173" customWidth="1"/>
    <col min="3" max="3" width="8.7109375" style="173" customWidth="1"/>
    <col min="4" max="4" width="3.85546875" style="173" customWidth="1"/>
    <col min="5" max="5" width="8.7109375" style="173" customWidth="1"/>
    <col min="6" max="6" width="1.42578125" style="173" customWidth="1"/>
    <col min="7" max="7" width="6.85546875" style="173" customWidth="1"/>
    <col min="8" max="8" width="6.7109375" style="173" customWidth="1"/>
    <col min="9" max="9" width="3" style="173" customWidth="1"/>
    <col min="10" max="10" width="25.85546875" style="173" customWidth="1"/>
    <col min="11" max="11" width="8.5703125" style="173" customWidth="1"/>
    <col min="12" max="12" width="9.85546875" style="173" customWidth="1"/>
    <col min="13" max="13" width="8.42578125" style="173" customWidth="1"/>
    <col min="14" max="14" width="8.5703125" style="173" customWidth="1"/>
  </cols>
  <sheetData>
    <row r="1" spans="1:14" ht="19.5" customHeight="1">
      <c r="A1" s="133" t="str">
        <f>"【"&amp;パラメタ!E1&amp;"】"</f>
        <v>【株式会社システムリンク】</v>
      </c>
      <c r="B1" s="4"/>
      <c r="C1" s="4"/>
      <c r="D1" s="4"/>
      <c r="E1" s="1"/>
      <c r="F1" s="133"/>
      <c r="G1" s="133"/>
      <c r="H1" s="133"/>
      <c r="I1" s="133"/>
      <c r="J1" s="126" t="s">
        <v>108</v>
      </c>
      <c r="K1" s="13"/>
      <c r="L1" s="277">
        <f ca="1">'勤務報告書(下)'!M1</f>
        <v>42411.30500497685</v>
      </c>
      <c r="M1" s="278"/>
      <c r="N1" s="278"/>
    </row>
    <row r="2" spans="1:14" ht="13.5" customHeight="1">
      <c r="A2" s="133"/>
      <c r="B2" s="133"/>
      <c r="C2" s="9"/>
      <c r="D2" s="9"/>
      <c r="E2" s="3"/>
      <c r="F2" s="133"/>
      <c r="G2" s="133"/>
      <c r="H2" s="133"/>
      <c r="I2" s="133"/>
      <c r="J2" s="32" t="str">
        <f>'勤務報告書(下)'!J2</f>
        <v>（平成28年1月下期分）</v>
      </c>
      <c r="K2" s="12"/>
      <c r="L2" s="12"/>
      <c r="M2" s="12"/>
      <c r="N2" s="10"/>
    </row>
    <row r="3" spans="1:14" ht="13.5" customHeight="1">
      <c r="A3" s="133"/>
      <c r="B3" s="4"/>
      <c r="C3" s="4"/>
      <c r="D3" s="4"/>
      <c r="E3" s="1"/>
      <c r="F3" s="133"/>
      <c r="G3" s="133"/>
      <c r="H3" s="133"/>
      <c r="I3" s="133"/>
      <c r="J3" s="133"/>
      <c r="K3" s="133"/>
      <c r="L3" s="133"/>
      <c r="M3" s="133"/>
      <c r="N3" s="4"/>
    </row>
    <row r="4" spans="1:14" ht="27.75" customHeight="1">
      <c r="A4" s="5"/>
      <c r="B4" s="15" t="s">
        <v>14</v>
      </c>
      <c r="C4" s="296" t="s">
        <v>15</v>
      </c>
      <c r="D4" s="297"/>
      <c r="E4" s="15" t="s">
        <v>129</v>
      </c>
      <c r="F4" s="296" t="str">
        <f>'勤務報告書(上)'!F4</f>
        <v>一般</v>
      </c>
      <c r="G4" s="297"/>
      <c r="H4" s="296" t="s">
        <v>16</v>
      </c>
      <c r="I4" s="297"/>
      <c r="J4" s="268" t="str">
        <f>'勤務報告書(上)'!I4&amp;"　　印　"</f>
        <v>　　印　</v>
      </c>
      <c r="K4" s="15" t="s">
        <v>17</v>
      </c>
      <c r="L4" s="16">
        <f>'勤務報告書(下)'!M4</f>
        <v>42403</v>
      </c>
      <c r="M4" s="17" t="s">
        <v>18</v>
      </c>
      <c r="N4" s="14"/>
    </row>
    <row r="5" spans="1:14" ht="13.5" customHeight="1">
      <c r="A5" s="133"/>
      <c r="B5" s="18" t="s">
        <v>0</v>
      </c>
      <c r="C5" s="19" t="s">
        <v>4</v>
      </c>
      <c r="D5" s="20" t="s">
        <v>19</v>
      </c>
      <c r="E5" s="21" t="s">
        <v>5</v>
      </c>
      <c r="F5" s="23" t="s">
        <v>9</v>
      </c>
      <c r="G5" s="24"/>
      <c r="H5" s="24"/>
      <c r="I5" s="24"/>
      <c r="J5" s="301" t="s">
        <v>109</v>
      </c>
      <c r="K5" s="302"/>
      <c r="L5" s="303"/>
      <c r="M5" s="307" t="s">
        <v>11</v>
      </c>
      <c r="N5" s="297"/>
    </row>
    <row r="6" spans="1:14" ht="13.5" customHeight="1">
      <c r="A6" s="1"/>
      <c r="B6" s="25" t="s">
        <v>1</v>
      </c>
      <c r="C6" s="121" t="s">
        <v>118</v>
      </c>
      <c r="D6" s="141" t="s">
        <v>19</v>
      </c>
      <c r="E6" s="142" t="s">
        <v>119</v>
      </c>
      <c r="F6" s="29" t="s">
        <v>10</v>
      </c>
      <c r="G6" s="30"/>
      <c r="H6" s="30"/>
      <c r="I6" s="30"/>
      <c r="J6" s="304"/>
      <c r="K6" s="305"/>
      <c r="L6" s="306"/>
      <c r="M6" s="31" t="s">
        <v>12</v>
      </c>
      <c r="N6" s="31" t="s">
        <v>110</v>
      </c>
    </row>
    <row r="7" spans="1:14" ht="13.5" customHeight="1">
      <c r="A7" s="133"/>
      <c r="B7" s="66" t="s">
        <v>352</v>
      </c>
      <c r="C7" s="90" t="s">
        <v>117</v>
      </c>
      <c r="D7" s="86"/>
      <c r="E7" s="86"/>
      <c r="F7" s="62"/>
      <c r="G7" s="81"/>
      <c r="H7" s="60" t="str">
        <f>IF('勤務報告書(下)'!I7&lt;&gt;0,'勤務報告書(下)'!I7,"- ")</f>
        <v xml:space="preserve">- </v>
      </c>
      <c r="I7" s="76" t="s">
        <v>96</v>
      </c>
      <c r="J7" s="300"/>
      <c r="K7" s="282"/>
      <c r="L7" s="283"/>
      <c r="M7" s="94"/>
      <c r="N7" s="8"/>
    </row>
    <row r="8" spans="1:14" ht="13.5" customHeight="1">
      <c r="A8" s="133"/>
      <c r="B8" s="83">
        <v>42375</v>
      </c>
      <c r="C8" s="79" t="str">
        <f>IF('勤務報告書(下)'!C8&lt;&gt;"",'勤務報告書(下)'!C8,"")</f>
        <v/>
      </c>
      <c r="D8" s="78" t="s">
        <v>95</v>
      </c>
      <c r="E8" s="80" t="str">
        <f>IF('勤務報告書(下)'!E8&lt;&gt;"",'勤務報告書(下)'!E8,"")</f>
        <v/>
      </c>
      <c r="F8" s="63"/>
      <c r="G8" s="60"/>
      <c r="H8" s="60" t="str">
        <f>IF('勤務報告書(下)'!I8&lt;&gt;0,'勤務報告書(下)'!I8,"- ")</f>
        <v xml:space="preserve">- </v>
      </c>
      <c r="I8" s="76" t="s">
        <v>96</v>
      </c>
      <c r="J8" s="284"/>
      <c r="K8" s="285"/>
      <c r="L8" s="286"/>
      <c r="M8" s="95"/>
      <c r="N8" s="6"/>
    </row>
    <row r="9" spans="1:14" ht="13.5" customHeight="1">
      <c r="A9" s="133"/>
      <c r="B9" s="69" t="s">
        <v>101</v>
      </c>
      <c r="C9" s="91" t="str">
        <f>IF('勤務報告書(下)'!U8&lt;&gt;0,'勤務報告書(下)'!V8,"")</f>
        <v/>
      </c>
      <c r="D9" s="92" t="s">
        <v>95</v>
      </c>
      <c r="E9" s="93" t="str">
        <f>IF('勤務報告書(下)'!U8&lt;&gt;0,'勤務報告書(下)'!W8,"")</f>
        <v/>
      </c>
      <c r="F9" s="77" t="str">
        <f>'勤務報告書(下)'!G9</f>
        <v/>
      </c>
      <c r="G9" s="82" t="str">
        <f>'勤務報告書(下)'!H9</f>
        <v/>
      </c>
      <c r="H9" s="61" t="str">
        <f>IF('勤務報告書(下)'!I9&lt;&gt;0,'勤務報告書(下)'!I9,"- ")</f>
        <v/>
      </c>
      <c r="I9" s="98" t="str">
        <f>'勤務報告書(下)'!J9</f>
        <v/>
      </c>
      <c r="J9" s="287"/>
      <c r="K9" s="288"/>
      <c r="L9" s="289"/>
      <c r="M9" s="96"/>
      <c r="N9" s="7"/>
    </row>
    <row r="10" spans="1:14" ht="13.5" customHeight="1">
      <c r="A10" s="133"/>
      <c r="B10" s="66"/>
      <c r="C10" s="90" t="s">
        <v>117</v>
      </c>
      <c r="D10" s="86"/>
      <c r="E10" s="86"/>
      <c r="F10" s="62"/>
      <c r="G10" s="81"/>
      <c r="H10" s="60" t="str">
        <f>IF('勤務報告書(下)'!I10&lt;&gt;0,'勤務報告書(下)'!I10,"- ")</f>
        <v xml:space="preserve">- </v>
      </c>
      <c r="I10" s="76" t="s">
        <v>96</v>
      </c>
      <c r="J10" s="300"/>
      <c r="K10" s="282"/>
      <c r="L10" s="283"/>
      <c r="M10" s="94"/>
      <c r="N10" s="8"/>
    </row>
    <row r="11" spans="1:14" ht="13.5" customHeight="1">
      <c r="A11" s="133"/>
      <c r="B11" s="83">
        <v>42376</v>
      </c>
      <c r="C11" s="79" t="str">
        <f>IF('勤務報告書(下)'!C11&lt;&gt;"",'勤務報告書(下)'!C11,"")</f>
        <v/>
      </c>
      <c r="D11" s="78" t="s">
        <v>95</v>
      </c>
      <c r="E11" s="80" t="str">
        <f>IF('勤務報告書(下)'!E11&lt;&gt;"",'勤務報告書(下)'!E11,"")</f>
        <v/>
      </c>
      <c r="F11" s="63"/>
      <c r="G11" s="60"/>
      <c r="H11" s="60" t="str">
        <f>IF('勤務報告書(下)'!I11&lt;&gt;0,'勤務報告書(下)'!I11,"- ")</f>
        <v xml:space="preserve">- </v>
      </c>
      <c r="I11" s="76" t="s">
        <v>96</v>
      </c>
      <c r="J11" s="284"/>
      <c r="K11" s="285"/>
      <c r="L11" s="286"/>
      <c r="M11" s="95"/>
      <c r="N11" s="6"/>
    </row>
    <row r="12" spans="1:14" ht="13.5" customHeight="1">
      <c r="A12" s="133"/>
      <c r="B12" s="69" t="s">
        <v>102</v>
      </c>
      <c r="C12" s="91" t="str">
        <f>IF('勤務報告書(下)'!U11&lt;&gt;0,'勤務報告書(下)'!V11,"")</f>
        <v/>
      </c>
      <c r="D12" s="92" t="s">
        <v>95</v>
      </c>
      <c r="E12" s="93" t="str">
        <f>IF('勤務報告書(下)'!U11&lt;&gt;0,'勤務報告書(下)'!W11,"")</f>
        <v/>
      </c>
      <c r="F12" s="77" t="str">
        <f>'勤務報告書(下)'!G12</f>
        <v/>
      </c>
      <c r="G12" s="82" t="str">
        <f>'勤務報告書(下)'!H12</f>
        <v/>
      </c>
      <c r="H12" s="61" t="str">
        <f>IF('勤務報告書(下)'!I12&lt;&gt;0,'勤務報告書(下)'!I12,"- ")</f>
        <v/>
      </c>
      <c r="I12" s="98" t="str">
        <f>'勤務報告書(下)'!J12</f>
        <v/>
      </c>
      <c r="J12" s="287"/>
      <c r="K12" s="288"/>
      <c r="L12" s="289"/>
      <c r="M12" s="96"/>
      <c r="N12" s="7"/>
    </row>
    <row r="13" spans="1:14" ht="13.5" customHeight="1">
      <c r="A13" s="133"/>
      <c r="B13" s="66"/>
      <c r="C13" s="90" t="s">
        <v>117</v>
      </c>
      <c r="D13" s="86"/>
      <c r="E13" s="86"/>
      <c r="F13" s="62"/>
      <c r="G13" s="81"/>
      <c r="H13" s="60" t="str">
        <f>IF('勤務報告書(下)'!I13&lt;&gt;0,'勤務報告書(下)'!I13,"- ")</f>
        <v xml:space="preserve">- </v>
      </c>
      <c r="I13" s="76" t="s">
        <v>96</v>
      </c>
      <c r="J13" s="300"/>
      <c r="K13" s="282"/>
      <c r="L13" s="283"/>
      <c r="M13" s="94"/>
      <c r="N13" s="8"/>
    </row>
    <row r="14" spans="1:14" ht="13.5" customHeight="1">
      <c r="A14" s="133"/>
      <c r="B14" s="83">
        <v>42377</v>
      </c>
      <c r="C14" s="79" t="str">
        <f>IF('勤務報告書(下)'!C14&lt;&gt;"",'勤務報告書(下)'!C14,"")</f>
        <v/>
      </c>
      <c r="D14" s="78" t="s">
        <v>95</v>
      </c>
      <c r="E14" s="80" t="str">
        <f>IF('勤務報告書(下)'!E14&lt;&gt;"",'勤務報告書(下)'!E14,"")</f>
        <v/>
      </c>
      <c r="F14" s="63"/>
      <c r="G14" s="60"/>
      <c r="H14" s="60" t="str">
        <f>IF('勤務報告書(下)'!I14&lt;&gt;0,'勤務報告書(下)'!I14,"- ")</f>
        <v xml:space="preserve">- </v>
      </c>
      <c r="I14" s="76" t="s">
        <v>96</v>
      </c>
      <c r="J14" s="284"/>
      <c r="K14" s="285"/>
      <c r="L14" s="286"/>
      <c r="M14" s="95"/>
      <c r="N14" s="6"/>
    </row>
    <row r="15" spans="1:14" ht="13.5" customHeight="1">
      <c r="A15" s="133"/>
      <c r="B15" s="69" t="s">
        <v>103</v>
      </c>
      <c r="C15" s="91" t="str">
        <f>IF('勤務報告書(下)'!U14&lt;&gt;0,'勤務報告書(下)'!V14,"")</f>
        <v/>
      </c>
      <c r="D15" s="92" t="s">
        <v>95</v>
      </c>
      <c r="E15" s="93" t="str">
        <f>IF('勤務報告書(下)'!U14&lt;&gt;0,'勤務報告書(下)'!W14,"")</f>
        <v/>
      </c>
      <c r="F15" s="77" t="str">
        <f>'勤務報告書(下)'!G15</f>
        <v/>
      </c>
      <c r="G15" s="82" t="str">
        <f>'勤務報告書(下)'!H15</f>
        <v/>
      </c>
      <c r="H15" s="61" t="str">
        <f>IF('勤務報告書(下)'!I15&lt;&gt;0,'勤務報告書(下)'!I15,"- ")</f>
        <v/>
      </c>
      <c r="I15" s="98" t="str">
        <f>'勤務報告書(下)'!J15</f>
        <v/>
      </c>
      <c r="J15" s="287"/>
      <c r="K15" s="288"/>
      <c r="L15" s="289"/>
      <c r="M15" s="96"/>
      <c r="N15" s="7"/>
    </row>
    <row r="16" spans="1:14" ht="13.5" customHeight="1">
      <c r="A16" s="133"/>
      <c r="B16" s="66"/>
      <c r="C16" s="90" t="s">
        <v>117</v>
      </c>
      <c r="D16" s="86"/>
      <c r="E16" s="86"/>
      <c r="F16" s="62"/>
      <c r="G16" s="81"/>
      <c r="H16" s="60" t="str">
        <f>IF('勤務報告書(下)'!I16&lt;&gt;0,'勤務報告書(下)'!I16,"- ")</f>
        <v xml:space="preserve">- </v>
      </c>
      <c r="I16" s="76" t="s">
        <v>96</v>
      </c>
      <c r="J16" s="300"/>
      <c r="K16" s="282"/>
      <c r="L16" s="283"/>
      <c r="M16" s="94"/>
      <c r="N16" s="8"/>
    </row>
    <row r="17" spans="1:14" ht="13.5" customHeight="1">
      <c r="A17" s="133"/>
      <c r="B17" s="83">
        <v>42378</v>
      </c>
      <c r="C17" s="79" t="str">
        <f>IF('勤務報告書(下)'!C17&lt;&gt;"",'勤務報告書(下)'!C17,"")</f>
        <v/>
      </c>
      <c r="D17" s="78" t="s">
        <v>95</v>
      </c>
      <c r="E17" s="80" t="str">
        <f>IF('勤務報告書(下)'!E17&lt;&gt;"",'勤務報告書(下)'!E17,"")</f>
        <v/>
      </c>
      <c r="F17" s="63"/>
      <c r="G17" s="60"/>
      <c r="H17" s="60" t="str">
        <f>IF('勤務報告書(下)'!I17&lt;&gt;0,'勤務報告書(下)'!I17,"- ")</f>
        <v xml:space="preserve">- </v>
      </c>
      <c r="I17" s="76" t="s">
        <v>96</v>
      </c>
      <c r="J17" s="284"/>
      <c r="K17" s="285"/>
      <c r="L17" s="286"/>
      <c r="M17" s="95"/>
      <c r="N17" s="6"/>
    </row>
    <row r="18" spans="1:14" ht="13.5" customHeight="1">
      <c r="A18" s="133"/>
      <c r="B18" s="71" t="s">
        <v>97</v>
      </c>
      <c r="C18" s="91" t="str">
        <f>IF('勤務報告書(下)'!U17&lt;&gt;0,'勤務報告書(下)'!V17,"")</f>
        <v/>
      </c>
      <c r="D18" s="92" t="s">
        <v>95</v>
      </c>
      <c r="E18" s="93" t="str">
        <f>IF('勤務報告書(下)'!U17&lt;&gt;0,'勤務報告書(下)'!W17,"")</f>
        <v/>
      </c>
      <c r="F18" s="77" t="str">
        <f>'勤務報告書(下)'!G18</f>
        <v/>
      </c>
      <c r="G18" s="82" t="str">
        <f>'勤務報告書(下)'!H18</f>
        <v/>
      </c>
      <c r="H18" s="61" t="str">
        <f>IF('勤務報告書(下)'!I18&lt;&gt;0,'勤務報告書(下)'!I18,"- ")</f>
        <v/>
      </c>
      <c r="I18" s="98" t="str">
        <f>'勤務報告書(下)'!J18</f>
        <v/>
      </c>
      <c r="J18" s="287"/>
      <c r="K18" s="288"/>
      <c r="L18" s="289"/>
      <c r="M18" s="96"/>
      <c r="N18" s="7"/>
    </row>
    <row r="19" spans="1:14" ht="13.5" customHeight="1">
      <c r="A19" s="133"/>
      <c r="B19" s="66"/>
      <c r="C19" s="90" t="s">
        <v>117</v>
      </c>
      <c r="D19" s="86"/>
      <c r="E19" s="86"/>
      <c r="F19" s="62"/>
      <c r="G19" s="81"/>
      <c r="H19" s="60" t="str">
        <f>IF('勤務報告書(下)'!I19&lt;&gt;0,'勤務報告書(下)'!I19,"- ")</f>
        <v xml:space="preserve">- </v>
      </c>
      <c r="I19" s="76" t="s">
        <v>96</v>
      </c>
      <c r="J19" s="300"/>
      <c r="K19" s="282"/>
      <c r="L19" s="283"/>
      <c r="M19" s="94"/>
      <c r="N19" s="8"/>
    </row>
    <row r="20" spans="1:14" ht="13.5" customHeight="1">
      <c r="A20" s="133"/>
      <c r="B20" s="83">
        <v>42379</v>
      </c>
      <c r="C20" s="79" t="str">
        <f>IF('勤務報告書(下)'!C20&lt;&gt;"",'勤務報告書(下)'!C20,"")</f>
        <v/>
      </c>
      <c r="D20" s="78" t="s">
        <v>95</v>
      </c>
      <c r="E20" s="80" t="str">
        <f>IF('勤務報告書(下)'!E20&lt;&gt;"",'勤務報告書(下)'!E20,"")</f>
        <v/>
      </c>
      <c r="F20" s="63"/>
      <c r="G20" s="60"/>
      <c r="H20" s="60" t="str">
        <f>IF('勤務報告書(下)'!I20&lt;&gt;0,'勤務報告書(下)'!I20,"- ")</f>
        <v xml:space="preserve">- </v>
      </c>
      <c r="I20" s="76" t="s">
        <v>96</v>
      </c>
      <c r="J20" s="284"/>
      <c r="K20" s="285"/>
      <c r="L20" s="286"/>
      <c r="M20" s="95"/>
      <c r="N20" s="6"/>
    </row>
    <row r="21" spans="1:14" ht="13.5" customHeight="1">
      <c r="A21" s="133"/>
      <c r="B21" s="73" t="s">
        <v>98</v>
      </c>
      <c r="C21" s="91" t="str">
        <f>IF('勤務報告書(下)'!U20&lt;&gt;0,'勤務報告書(下)'!V20,"")</f>
        <v/>
      </c>
      <c r="D21" s="92" t="s">
        <v>95</v>
      </c>
      <c r="E21" s="93" t="str">
        <f>IF('勤務報告書(下)'!U20&lt;&gt;0,'勤務報告書(下)'!W20,"")</f>
        <v/>
      </c>
      <c r="F21" s="77" t="str">
        <f>'勤務報告書(下)'!G21</f>
        <v/>
      </c>
      <c r="G21" s="82" t="str">
        <f>'勤務報告書(下)'!H21</f>
        <v/>
      </c>
      <c r="H21" s="61" t="str">
        <f>IF('勤務報告書(下)'!I21&lt;&gt;0,'勤務報告書(下)'!I21,"- ")</f>
        <v/>
      </c>
      <c r="I21" s="98" t="str">
        <f>'勤務報告書(下)'!J21</f>
        <v/>
      </c>
      <c r="J21" s="287"/>
      <c r="K21" s="288"/>
      <c r="L21" s="289"/>
      <c r="M21" s="96"/>
      <c r="N21" s="7"/>
    </row>
    <row r="22" spans="1:14" ht="13.5" customHeight="1">
      <c r="A22" s="133"/>
      <c r="B22" s="66"/>
      <c r="C22" s="273" t="s">
        <v>361</v>
      </c>
      <c r="D22" s="86"/>
      <c r="E22" s="86"/>
      <c r="F22" s="62"/>
      <c r="G22" s="81"/>
      <c r="H22" s="60" t="str">
        <f>IF('勤務報告書(下)'!I22&lt;&gt;0,'勤務報告書(下)'!I22,"- ")</f>
        <v xml:space="preserve">- </v>
      </c>
      <c r="I22" s="76" t="s">
        <v>96</v>
      </c>
      <c r="J22" s="300"/>
      <c r="K22" s="282"/>
      <c r="L22" s="283"/>
      <c r="M22" s="94"/>
      <c r="N22" s="8"/>
    </row>
    <row r="23" spans="1:14" ht="13.5" customHeight="1">
      <c r="A23" s="133"/>
      <c r="B23" s="83">
        <v>42380</v>
      </c>
      <c r="C23" s="79" t="str">
        <f>IF('勤務報告書(下)'!C23&lt;&gt;"",'勤務報告書(下)'!C23,"")</f>
        <v/>
      </c>
      <c r="D23" s="78" t="s">
        <v>95</v>
      </c>
      <c r="E23" s="80" t="str">
        <f>IF('勤務報告書(下)'!E23&lt;&gt;"",'勤務報告書(下)'!E23,"")</f>
        <v/>
      </c>
      <c r="F23" s="63"/>
      <c r="G23" s="60"/>
      <c r="H23" s="60" t="str">
        <f>IF('勤務報告書(下)'!I23&lt;&gt;0,'勤務報告書(下)'!I23,"- ")</f>
        <v xml:space="preserve">- </v>
      </c>
      <c r="I23" s="76" t="s">
        <v>96</v>
      </c>
      <c r="J23" s="284"/>
      <c r="K23" s="285"/>
      <c r="L23" s="286"/>
      <c r="M23" s="95"/>
      <c r="N23" s="6"/>
    </row>
    <row r="24" spans="1:14" ht="13.5" customHeight="1">
      <c r="A24" s="133"/>
      <c r="B24" s="73" t="s">
        <v>99</v>
      </c>
      <c r="C24" s="91" t="str">
        <f>IF('勤務報告書(下)'!U23&lt;&gt;0,'勤務報告書(下)'!V23,"")</f>
        <v/>
      </c>
      <c r="D24" s="92" t="s">
        <v>95</v>
      </c>
      <c r="E24" s="93" t="str">
        <f>IF('勤務報告書(下)'!U23&lt;&gt;0,'勤務報告書(下)'!W23,"")</f>
        <v/>
      </c>
      <c r="F24" s="77" t="str">
        <f>'勤務報告書(下)'!G24</f>
        <v/>
      </c>
      <c r="G24" s="82" t="str">
        <f>'勤務報告書(下)'!H24</f>
        <v/>
      </c>
      <c r="H24" s="61" t="str">
        <f>IF('勤務報告書(下)'!I24&lt;&gt;0,'勤務報告書(下)'!I24,"- ")</f>
        <v/>
      </c>
      <c r="I24" s="98" t="str">
        <f>'勤務報告書(下)'!J24</f>
        <v/>
      </c>
      <c r="J24" s="287"/>
      <c r="K24" s="288"/>
      <c r="L24" s="289"/>
      <c r="M24" s="96"/>
      <c r="N24" s="7"/>
    </row>
    <row r="25" spans="1:14" ht="13.5" customHeight="1">
      <c r="A25" s="133"/>
      <c r="B25" s="66"/>
      <c r="C25" s="90" t="s">
        <v>117</v>
      </c>
      <c r="D25" s="86"/>
      <c r="E25" s="86"/>
      <c r="F25" s="62"/>
      <c r="G25" s="81"/>
      <c r="H25" s="60" t="str">
        <f>IF('勤務報告書(下)'!I25&lt;&gt;0,'勤務報告書(下)'!I25,"- ")</f>
        <v xml:space="preserve">- </v>
      </c>
      <c r="I25" s="76" t="s">
        <v>96</v>
      </c>
      <c r="J25" s="300"/>
      <c r="K25" s="282"/>
      <c r="L25" s="283"/>
      <c r="M25" s="94"/>
      <c r="N25" s="8"/>
    </row>
    <row r="26" spans="1:14" ht="13.5" customHeight="1">
      <c r="A26" s="133"/>
      <c r="B26" s="83">
        <v>42381</v>
      </c>
      <c r="C26" s="79" t="str">
        <f>IF('勤務報告書(下)'!C26&lt;&gt;"",'勤務報告書(下)'!C26,"")</f>
        <v/>
      </c>
      <c r="D26" s="78" t="s">
        <v>95</v>
      </c>
      <c r="E26" s="80" t="str">
        <f>IF('勤務報告書(下)'!E26&lt;&gt;"",'勤務報告書(下)'!E26,"")</f>
        <v/>
      </c>
      <c r="F26" s="63"/>
      <c r="G26" s="60"/>
      <c r="H26" s="60" t="str">
        <f>IF('勤務報告書(下)'!I26&lt;&gt;0,'勤務報告書(下)'!I26,"- ")</f>
        <v xml:space="preserve">- </v>
      </c>
      <c r="I26" s="76" t="s">
        <v>96</v>
      </c>
      <c r="J26" s="284"/>
      <c r="K26" s="285"/>
      <c r="L26" s="286"/>
      <c r="M26" s="95"/>
      <c r="N26" s="6"/>
    </row>
    <row r="27" spans="1:14" ht="13.5" customHeight="1">
      <c r="A27" s="133"/>
      <c r="B27" s="69" t="s">
        <v>100</v>
      </c>
      <c r="C27" s="91" t="str">
        <f>IF('勤務報告書(下)'!U26&lt;&gt;0,'勤務報告書(下)'!V26,"")</f>
        <v/>
      </c>
      <c r="D27" s="92" t="s">
        <v>95</v>
      </c>
      <c r="E27" s="93" t="str">
        <f>IF('勤務報告書(下)'!U26&lt;&gt;0,'勤務報告書(下)'!W26,"")</f>
        <v/>
      </c>
      <c r="F27" s="77" t="str">
        <f>'勤務報告書(下)'!G27</f>
        <v/>
      </c>
      <c r="G27" s="82" t="str">
        <f>'勤務報告書(下)'!H27</f>
        <v/>
      </c>
      <c r="H27" s="61" t="str">
        <f>IF('勤務報告書(下)'!I27&lt;&gt;0,'勤務報告書(下)'!I27,"- ")</f>
        <v/>
      </c>
      <c r="I27" s="98" t="str">
        <f>'勤務報告書(下)'!J27</f>
        <v/>
      </c>
      <c r="J27" s="287"/>
      <c r="K27" s="288"/>
      <c r="L27" s="289"/>
      <c r="M27" s="96"/>
      <c r="N27" s="7"/>
    </row>
    <row r="28" spans="1:14" ht="13.5" customHeight="1">
      <c r="A28" s="133"/>
      <c r="B28" s="66"/>
      <c r="C28" s="90" t="s">
        <v>117</v>
      </c>
      <c r="D28" s="86"/>
      <c r="E28" s="86"/>
      <c r="F28" s="62"/>
      <c r="G28" s="81"/>
      <c r="H28" s="60" t="str">
        <f>IF('勤務報告書(下)'!I28&lt;&gt;0,'勤務報告書(下)'!I28,"- ")</f>
        <v xml:space="preserve">- </v>
      </c>
      <c r="I28" s="76" t="s">
        <v>96</v>
      </c>
      <c r="J28" s="300"/>
      <c r="K28" s="282"/>
      <c r="L28" s="283"/>
      <c r="M28" s="94"/>
      <c r="N28" s="8"/>
    </row>
    <row r="29" spans="1:14" ht="13.5" customHeight="1">
      <c r="A29" s="133"/>
      <c r="B29" s="83">
        <v>42382</v>
      </c>
      <c r="C29" s="79" t="str">
        <f>IF('勤務報告書(下)'!C29&lt;&gt;"",'勤務報告書(下)'!C29,"")</f>
        <v/>
      </c>
      <c r="D29" s="78" t="s">
        <v>95</v>
      </c>
      <c r="E29" s="80" t="str">
        <f>IF('勤務報告書(下)'!E29&lt;&gt;"",'勤務報告書(下)'!E29,"")</f>
        <v/>
      </c>
      <c r="F29" s="63"/>
      <c r="G29" s="60"/>
      <c r="H29" s="60" t="str">
        <f>IF('勤務報告書(下)'!I29&lt;&gt;0,'勤務報告書(下)'!I29,"- ")</f>
        <v xml:space="preserve">- </v>
      </c>
      <c r="I29" s="76" t="s">
        <v>96</v>
      </c>
      <c r="J29" s="284"/>
      <c r="K29" s="285"/>
      <c r="L29" s="286"/>
      <c r="M29" s="95"/>
      <c r="N29" s="6"/>
    </row>
    <row r="30" spans="1:14" ht="13.5" customHeight="1">
      <c r="A30" s="133"/>
      <c r="B30" s="69" t="s">
        <v>101</v>
      </c>
      <c r="C30" s="91" t="str">
        <f>IF('勤務報告書(下)'!U29&lt;&gt;0,'勤務報告書(下)'!V29,"")</f>
        <v/>
      </c>
      <c r="D30" s="92" t="s">
        <v>95</v>
      </c>
      <c r="E30" s="93" t="str">
        <f>IF('勤務報告書(下)'!U29&lt;&gt;0,'勤務報告書(下)'!W29,"")</f>
        <v/>
      </c>
      <c r="F30" s="77" t="str">
        <f>'勤務報告書(下)'!G30</f>
        <v/>
      </c>
      <c r="G30" s="82" t="str">
        <f>'勤務報告書(下)'!H30</f>
        <v/>
      </c>
      <c r="H30" s="61" t="str">
        <f>IF('勤務報告書(下)'!I30&lt;&gt;0,'勤務報告書(下)'!I30,"- ")</f>
        <v/>
      </c>
      <c r="I30" s="98" t="str">
        <f>'勤務報告書(下)'!J30</f>
        <v/>
      </c>
      <c r="J30" s="287"/>
      <c r="K30" s="288"/>
      <c r="L30" s="289"/>
      <c r="M30" s="96"/>
      <c r="N30" s="7"/>
    </row>
    <row r="31" spans="1:14" ht="13.5" customHeight="1">
      <c r="A31" s="133"/>
      <c r="B31" s="66"/>
      <c r="C31" s="90" t="s">
        <v>117</v>
      </c>
      <c r="D31" s="86"/>
      <c r="E31" s="86"/>
      <c r="F31" s="62"/>
      <c r="G31" s="81"/>
      <c r="H31" s="60" t="str">
        <f>IF('勤務報告書(下)'!I31&lt;&gt;0,'勤務報告書(下)'!I31,"- ")</f>
        <v xml:space="preserve">- </v>
      </c>
      <c r="I31" s="76" t="s">
        <v>96</v>
      </c>
      <c r="J31" s="300"/>
      <c r="K31" s="282"/>
      <c r="L31" s="283"/>
      <c r="M31" s="94"/>
      <c r="N31" s="8"/>
    </row>
    <row r="32" spans="1:14" ht="13.5" customHeight="1">
      <c r="A32" s="133"/>
      <c r="B32" s="83">
        <v>42383</v>
      </c>
      <c r="C32" s="79" t="str">
        <f>IF('勤務報告書(下)'!C32&lt;&gt;"",'勤務報告書(下)'!C32,"")</f>
        <v/>
      </c>
      <c r="D32" s="78" t="s">
        <v>95</v>
      </c>
      <c r="E32" s="80" t="str">
        <f>IF('勤務報告書(下)'!E32&lt;&gt;"",'勤務報告書(下)'!E32,"")</f>
        <v/>
      </c>
      <c r="F32" s="63"/>
      <c r="G32" s="60"/>
      <c r="H32" s="60" t="str">
        <f>IF('勤務報告書(下)'!I32&lt;&gt;0,'勤務報告書(下)'!I32,"- ")</f>
        <v xml:space="preserve">- </v>
      </c>
      <c r="I32" s="76" t="s">
        <v>96</v>
      </c>
      <c r="J32" s="284"/>
      <c r="K32" s="285"/>
      <c r="L32" s="286"/>
      <c r="M32" s="95"/>
      <c r="N32" s="6"/>
    </row>
    <row r="33" spans="1:14" ht="13.5" customHeight="1">
      <c r="A33" s="133"/>
      <c r="B33" s="69" t="s">
        <v>102</v>
      </c>
      <c r="C33" s="91" t="str">
        <f>IF('勤務報告書(下)'!U32&lt;&gt;0,'勤務報告書(下)'!V32,"")</f>
        <v/>
      </c>
      <c r="D33" s="92" t="s">
        <v>95</v>
      </c>
      <c r="E33" s="93" t="str">
        <f>IF('勤務報告書(下)'!U32&lt;&gt;0,'勤務報告書(下)'!W32,"")</f>
        <v/>
      </c>
      <c r="F33" s="77" t="str">
        <f>'勤務報告書(下)'!G33</f>
        <v/>
      </c>
      <c r="G33" s="82" t="str">
        <f>'勤務報告書(下)'!H33</f>
        <v/>
      </c>
      <c r="H33" s="61" t="str">
        <f>IF('勤務報告書(下)'!I33&lt;&gt;0,'勤務報告書(下)'!I33,"- ")</f>
        <v/>
      </c>
      <c r="I33" s="98" t="str">
        <f>'勤務報告書(下)'!J33</f>
        <v/>
      </c>
      <c r="J33" s="287"/>
      <c r="K33" s="288"/>
      <c r="L33" s="289"/>
      <c r="M33" s="96"/>
      <c r="N33" s="7"/>
    </row>
    <row r="34" spans="1:14" ht="13.5" customHeight="1">
      <c r="A34" s="133"/>
      <c r="B34" s="66"/>
      <c r="C34" s="90" t="s">
        <v>117</v>
      </c>
      <c r="D34" s="86"/>
      <c r="E34" s="86"/>
      <c r="F34" s="62"/>
      <c r="G34" s="81"/>
      <c r="H34" s="60" t="str">
        <f>IF('勤務報告書(下)'!I34&lt;&gt;0,'勤務報告書(下)'!I34,"- ")</f>
        <v xml:space="preserve">- </v>
      </c>
      <c r="I34" s="76" t="s">
        <v>96</v>
      </c>
      <c r="J34" s="300"/>
      <c r="K34" s="282"/>
      <c r="L34" s="283"/>
      <c r="M34" s="94"/>
      <c r="N34" s="8"/>
    </row>
    <row r="35" spans="1:14" ht="13.5" customHeight="1">
      <c r="A35" s="133"/>
      <c r="B35" s="83">
        <v>42384</v>
      </c>
      <c r="C35" s="79" t="str">
        <f>IF('勤務報告書(下)'!C35&lt;&gt;"",'勤務報告書(下)'!C35,"")</f>
        <v/>
      </c>
      <c r="D35" s="78" t="s">
        <v>95</v>
      </c>
      <c r="E35" s="80" t="str">
        <f>IF('勤務報告書(下)'!E35&lt;&gt;"",'勤務報告書(下)'!E35,"")</f>
        <v/>
      </c>
      <c r="F35" s="63"/>
      <c r="G35" s="60"/>
      <c r="H35" s="60" t="str">
        <f>IF('勤務報告書(下)'!I35&lt;&gt;0,'勤務報告書(下)'!I35,"- ")</f>
        <v xml:space="preserve">- </v>
      </c>
      <c r="I35" s="76" t="s">
        <v>96</v>
      </c>
      <c r="J35" s="284"/>
      <c r="K35" s="285"/>
      <c r="L35" s="286"/>
      <c r="M35" s="95"/>
      <c r="N35" s="6"/>
    </row>
    <row r="36" spans="1:14" ht="13.5" customHeight="1">
      <c r="A36" s="133"/>
      <c r="B36" s="69" t="s">
        <v>103</v>
      </c>
      <c r="C36" s="91" t="str">
        <f>IF('勤務報告書(下)'!U35&lt;&gt;0,'勤務報告書(下)'!V35,"")</f>
        <v/>
      </c>
      <c r="D36" s="92" t="s">
        <v>95</v>
      </c>
      <c r="E36" s="93" t="str">
        <f>IF('勤務報告書(下)'!U35&lt;&gt;0,'勤務報告書(下)'!W35,"")</f>
        <v/>
      </c>
      <c r="F36" s="77" t="str">
        <f>'勤務報告書(下)'!G36</f>
        <v/>
      </c>
      <c r="G36" s="82" t="str">
        <f>'勤務報告書(下)'!H36</f>
        <v/>
      </c>
      <c r="H36" s="61" t="str">
        <f>IF('勤務報告書(下)'!I36&lt;&gt;0,'勤務報告書(下)'!I36,"- ")</f>
        <v/>
      </c>
      <c r="I36" s="98" t="str">
        <f>'勤務報告書(下)'!J36</f>
        <v/>
      </c>
      <c r="J36" s="287"/>
      <c r="K36" s="288"/>
      <c r="L36" s="289"/>
      <c r="M36" s="96"/>
      <c r="N36" s="7"/>
    </row>
    <row r="37" spans="1:14" ht="13.5" customHeight="1">
      <c r="A37" s="133"/>
      <c r="B37" s="66"/>
      <c r="C37" s="90" t="s">
        <v>117</v>
      </c>
      <c r="D37" s="86"/>
      <c r="E37" s="86"/>
      <c r="F37" s="62"/>
      <c r="G37" s="81"/>
      <c r="H37" s="60" t="str">
        <f>IF('勤務報告書(下)'!I37&lt;&gt;0,'勤務報告書(下)'!I37,"- ")</f>
        <v xml:space="preserve">- </v>
      </c>
      <c r="I37" s="76" t="s">
        <v>96</v>
      </c>
      <c r="J37" s="300"/>
      <c r="K37" s="282"/>
      <c r="L37" s="283"/>
      <c r="M37" s="94"/>
      <c r="N37" s="8"/>
    </row>
    <row r="38" spans="1:14" ht="13.5" customHeight="1">
      <c r="A38" s="133"/>
      <c r="B38" s="83">
        <v>42385</v>
      </c>
      <c r="C38" s="79" t="str">
        <f>IF('勤務報告書(下)'!C38&lt;&gt;"",'勤務報告書(下)'!C38,"")</f>
        <v/>
      </c>
      <c r="D38" s="78" t="s">
        <v>95</v>
      </c>
      <c r="E38" s="80" t="str">
        <f>IF('勤務報告書(下)'!E38&lt;&gt;"",'勤務報告書(下)'!E38,"")</f>
        <v/>
      </c>
      <c r="F38" s="63"/>
      <c r="G38" s="60"/>
      <c r="H38" s="60" t="str">
        <f>IF('勤務報告書(下)'!I38&lt;&gt;0,'勤務報告書(下)'!I38,"- ")</f>
        <v xml:space="preserve">- </v>
      </c>
      <c r="I38" s="76" t="s">
        <v>96</v>
      </c>
      <c r="J38" s="284"/>
      <c r="K38" s="285"/>
      <c r="L38" s="286"/>
      <c r="M38" s="95"/>
      <c r="N38" s="6"/>
    </row>
    <row r="39" spans="1:14" ht="13.5" customHeight="1">
      <c r="A39" s="133"/>
      <c r="B39" s="71" t="s">
        <v>97</v>
      </c>
      <c r="C39" s="91" t="str">
        <f>IF('勤務報告書(下)'!U38&lt;&gt;0,'勤務報告書(下)'!V38,"")</f>
        <v/>
      </c>
      <c r="D39" s="92" t="s">
        <v>95</v>
      </c>
      <c r="E39" s="93" t="str">
        <f>IF('勤務報告書(下)'!U38&lt;&gt;0,'勤務報告書(下)'!W38,"")</f>
        <v/>
      </c>
      <c r="F39" s="77" t="str">
        <f>'勤務報告書(下)'!G39</f>
        <v/>
      </c>
      <c r="G39" s="82" t="str">
        <f>'勤務報告書(下)'!H39</f>
        <v/>
      </c>
      <c r="H39" s="61" t="str">
        <f>IF('勤務報告書(下)'!I39&lt;&gt;0,'勤務報告書(下)'!I39,"- ")</f>
        <v/>
      </c>
      <c r="I39" s="98" t="str">
        <f>'勤務報告書(下)'!J39</f>
        <v/>
      </c>
      <c r="J39" s="287"/>
      <c r="K39" s="288"/>
      <c r="L39" s="289"/>
      <c r="M39" s="96"/>
      <c r="N39" s="7"/>
    </row>
    <row r="40" spans="1:14" ht="13.5" customHeight="1">
      <c r="A40" s="133"/>
      <c r="B40" s="66"/>
      <c r="C40" s="90" t="s">
        <v>117</v>
      </c>
      <c r="D40" s="86"/>
      <c r="E40" s="86"/>
      <c r="F40" s="62"/>
      <c r="G40" s="81"/>
      <c r="H40" s="60" t="str">
        <f>IF('勤務報告書(下)'!I40&lt;&gt;0,'勤務報告書(下)'!I40,"- ")</f>
        <v xml:space="preserve">- </v>
      </c>
      <c r="I40" s="76" t="s">
        <v>96</v>
      </c>
      <c r="J40" s="300"/>
      <c r="K40" s="282"/>
      <c r="L40" s="283"/>
      <c r="M40" s="94"/>
      <c r="N40" s="8"/>
    </row>
    <row r="41" spans="1:14" ht="13.5" customHeight="1">
      <c r="A41" s="133"/>
      <c r="B41" s="83">
        <v>42386</v>
      </c>
      <c r="C41" s="79" t="str">
        <f>IF('勤務報告書(下)'!C41&lt;&gt;"",'勤務報告書(下)'!C41,"")</f>
        <v/>
      </c>
      <c r="D41" s="78" t="s">
        <v>95</v>
      </c>
      <c r="E41" s="80" t="str">
        <f>IF('勤務報告書(下)'!E41&lt;&gt;"",'勤務報告書(下)'!E41,"")</f>
        <v/>
      </c>
      <c r="F41" s="63"/>
      <c r="G41" s="60"/>
      <c r="H41" s="60" t="str">
        <f>IF('勤務報告書(下)'!I41&lt;&gt;0,'勤務報告書(下)'!I41,"- ")</f>
        <v xml:space="preserve">- </v>
      </c>
      <c r="I41" s="76" t="s">
        <v>96</v>
      </c>
      <c r="J41" s="284"/>
      <c r="K41" s="285"/>
      <c r="L41" s="286"/>
      <c r="M41" s="95"/>
      <c r="N41" s="6"/>
    </row>
    <row r="42" spans="1:14" ht="13.5" customHeight="1">
      <c r="A42" s="133"/>
      <c r="B42" s="73" t="s">
        <v>98</v>
      </c>
      <c r="C42" s="91" t="str">
        <f>IF('勤務報告書(下)'!U41&lt;&gt;0,'勤務報告書(下)'!V41,"")</f>
        <v/>
      </c>
      <c r="D42" s="92" t="s">
        <v>95</v>
      </c>
      <c r="E42" s="93" t="str">
        <f>IF('勤務報告書(下)'!U41&lt;&gt;0,'勤務報告書(下)'!W41,"")</f>
        <v/>
      </c>
      <c r="F42" s="77" t="str">
        <f>'勤務報告書(下)'!G42</f>
        <v/>
      </c>
      <c r="G42" s="82" t="str">
        <f>'勤務報告書(下)'!H42</f>
        <v/>
      </c>
      <c r="H42" s="61" t="str">
        <f>IF('勤務報告書(下)'!I42&lt;&gt;0,'勤務報告書(下)'!I42,"- ")</f>
        <v/>
      </c>
      <c r="I42" s="98" t="str">
        <f>'勤務報告書(下)'!J42</f>
        <v/>
      </c>
      <c r="J42" s="287"/>
      <c r="K42" s="288"/>
      <c r="L42" s="289"/>
      <c r="M42" s="96"/>
      <c r="N42" s="7"/>
    </row>
    <row r="43" spans="1:14" ht="13.5" customHeight="1">
      <c r="A43" s="133"/>
      <c r="B43" s="66"/>
      <c r="C43" s="90" t="s">
        <v>117</v>
      </c>
      <c r="D43" s="86"/>
      <c r="E43" s="86"/>
      <c r="F43" s="62"/>
      <c r="G43" s="81"/>
      <c r="H43" s="60" t="str">
        <f>IF('勤務報告書(下)'!I43&lt;&gt;0,'勤務報告書(下)'!I43,"- ")</f>
        <v xml:space="preserve">- </v>
      </c>
      <c r="I43" s="76" t="s">
        <v>96</v>
      </c>
      <c r="J43" s="300"/>
      <c r="K43" s="282"/>
      <c r="L43" s="283"/>
      <c r="M43" s="94"/>
      <c r="N43" s="8"/>
    </row>
    <row r="44" spans="1:14" ht="13.5" customHeight="1">
      <c r="A44" s="133"/>
      <c r="B44" s="83">
        <v>42387</v>
      </c>
      <c r="C44" s="79" t="str">
        <f>IF('勤務報告書(下)'!C44&lt;&gt;"",'勤務報告書(下)'!C44,"")</f>
        <v/>
      </c>
      <c r="D44" s="78" t="s">
        <v>95</v>
      </c>
      <c r="E44" s="80" t="str">
        <f>IF('勤務報告書(下)'!E44&lt;&gt;"",'勤務報告書(下)'!E44,"")</f>
        <v/>
      </c>
      <c r="F44" s="63"/>
      <c r="G44" s="60"/>
      <c r="H44" s="60" t="str">
        <f>IF('勤務報告書(下)'!I44&lt;&gt;0,'勤務報告書(下)'!I44,"- ")</f>
        <v xml:space="preserve">- </v>
      </c>
      <c r="I44" s="76" t="s">
        <v>96</v>
      </c>
      <c r="J44" s="284"/>
      <c r="K44" s="285"/>
      <c r="L44" s="286"/>
      <c r="M44" s="95"/>
      <c r="N44" s="6"/>
    </row>
    <row r="45" spans="1:14" ht="13.5" customHeight="1">
      <c r="A45" s="133"/>
      <c r="B45" s="69" t="s">
        <v>99</v>
      </c>
      <c r="C45" s="91" t="str">
        <f>IF('勤務報告書(下)'!U44&lt;&gt;0,'勤務報告書(下)'!V44,"")</f>
        <v/>
      </c>
      <c r="D45" s="92" t="s">
        <v>95</v>
      </c>
      <c r="E45" s="93" t="str">
        <f>IF('勤務報告書(下)'!U44&lt;&gt;0,'勤務報告書(下)'!W44,"")</f>
        <v/>
      </c>
      <c r="F45" s="77" t="str">
        <f>'勤務報告書(下)'!G45</f>
        <v/>
      </c>
      <c r="G45" s="82" t="str">
        <f>'勤務報告書(下)'!H45</f>
        <v/>
      </c>
      <c r="H45" s="61" t="str">
        <f>IF('勤務報告書(下)'!I45&lt;&gt;0,'勤務報告書(下)'!I45,"- ")</f>
        <v/>
      </c>
      <c r="I45" s="98" t="str">
        <f>'勤務報告書(下)'!J45</f>
        <v/>
      </c>
      <c r="J45" s="287"/>
      <c r="K45" s="288"/>
      <c r="L45" s="289"/>
      <c r="M45" s="96"/>
      <c r="N45" s="7"/>
    </row>
    <row r="46" spans="1:14" ht="13.5" customHeight="1">
      <c r="A46" s="133"/>
      <c r="B46" s="66"/>
      <c r="C46" s="90" t="s">
        <v>117</v>
      </c>
      <c r="D46" s="86"/>
      <c r="E46" s="86"/>
      <c r="F46" s="62"/>
      <c r="G46" s="81"/>
      <c r="H46" s="60" t="str">
        <f>IF('勤務報告書(下)'!I46&lt;&gt;0,'勤務報告書(下)'!I46,"- ")</f>
        <v xml:space="preserve">- </v>
      </c>
      <c r="I46" s="76" t="s">
        <v>96</v>
      </c>
      <c r="J46" s="300"/>
      <c r="K46" s="282"/>
      <c r="L46" s="283"/>
      <c r="M46" s="94"/>
      <c r="N46" s="8"/>
    </row>
    <row r="47" spans="1:14" ht="13.5" customHeight="1">
      <c r="A47" s="133"/>
      <c r="B47" s="83">
        <v>42388</v>
      </c>
      <c r="C47" s="79" t="str">
        <f>IF('勤務報告書(下)'!C47&lt;&gt;"",'勤務報告書(下)'!C47,"")</f>
        <v/>
      </c>
      <c r="D47" s="78" t="s">
        <v>95</v>
      </c>
      <c r="E47" s="80" t="str">
        <f>IF('勤務報告書(下)'!E47&lt;&gt;"",'勤務報告書(下)'!E47,"")</f>
        <v/>
      </c>
      <c r="F47" s="63"/>
      <c r="G47" s="60"/>
      <c r="H47" s="60" t="str">
        <f>IF('勤務報告書(下)'!I47&lt;&gt;0,'勤務報告書(下)'!I47,"- ")</f>
        <v xml:space="preserve">- </v>
      </c>
      <c r="I47" s="76" t="s">
        <v>96</v>
      </c>
      <c r="J47" s="284"/>
      <c r="K47" s="285"/>
      <c r="L47" s="286"/>
      <c r="M47" s="95"/>
      <c r="N47" s="6"/>
    </row>
    <row r="48" spans="1:14" ht="13.5" customHeight="1">
      <c r="A48" s="133"/>
      <c r="B48" s="69" t="s">
        <v>100</v>
      </c>
      <c r="C48" s="91" t="str">
        <f>IF('勤務報告書(下)'!U47&lt;&gt;0,'勤務報告書(下)'!V47,"")</f>
        <v/>
      </c>
      <c r="D48" s="92" t="s">
        <v>95</v>
      </c>
      <c r="E48" s="93" t="str">
        <f>IF('勤務報告書(下)'!U47&lt;&gt;0,'勤務報告書(下)'!W47,"")</f>
        <v/>
      </c>
      <c r="F48" s="77" t="str">
        <f>'勤務報告書(下)'!G48</f>
        <v/>
      </c>
      <c r="G48" s="82" t="str">
        <f>'勤務報告書(下)'!H48</f>
        <v/>
      </c>
      <c r="H48" s="61" t="str">
        <f>IF('勤務報告書(下)'!I48&lt;&gt;0,'勤務報告書(下)'!I48,"- ")</f>
        <v/>
      </c>
      <c r="I48" s="98" t="str">
        <f>'勤務報告書(下)'!J48</f>
        <v/>
      </c>
      <c r="J48" s="287"/>
      <c r="K48" s="288"/>
      <c r="L48" s="289"/>
      <c r="M48" s="96"/>
      <c r="N48" s="7"/>
    </row>
    <row r="49" spans="1:14" ht="13.5" customHeight="1">
      <c r="A49" s="133"/>
      <c r="B49" s="66"/>
      <c r="C49" s="90" t="s">
        <v>117</v>
      </c>
      <c r="D49" s="86"/>
      <c r="E49" s="86"/>
      <c r="F49" s="62"/>
      <c r="G49" s="81"/>
      <c r="H49" s="60" t="str">
        <f>IF('勤務報告書(下)'!I49&lt;&gt;0,'勤務報告書(下)'!I49,"- ")</f>
        <v xml:space="preserve">- </v>
      </c>
      <c r="I49" s="76" t="s">
        <v>96</v>
      </c>
      <c r="J49" s="300"/>
      <c r="K49" s="282"/>
      <c r="L49" s="283"/>
      <c r="M49" s="94"/>
      <c r="N49" s="8"/>
    </row>
    <row r="50" spans="1:14" ht="13.5" customHeight="1">
      <c r="A50" s="133"/>
      <c r="B50" s="83">
        <v>42389</v>
      </c>
      <c r="C50" s="79" t="str">
        <f>IF('勤務報告書(下)'!C50&lt;&gt;"",'勤務報告書(下)'!C50,"")</f>
        <v/>
      </c>
      <c r="D50" s="78" t="s">
        <v>95</v>
      </c>
      <c r="E50" s="80" t="str">
        <f>IF('勤務報告書(下)'!E50&lt;&gt;"",'勤務報告書(下)'!E50,"")</f>
        <v/>
      </c>
      <c r="F50" s="63"/>
      <c r="G50" s="60"/>
      <c r="H50" s="60" t="str">
        <f>IF('勤務報告書(下)'!I50&lt;&gt;0,'勤務報告書(下)'!I50,"- ")</f>
        <v xml:space="preserve">- </v>
      </c>
      <c r="I50" s="76" t="s">
        <v>96</v>
      </c>
      <c r="J50" s="284"/>
      <c r="K50" s="285"/>
      <c r="L50" s="286"/>
      <c r="M50" s="95"/>
      <c r="N50" s="6"/>
    </row>
    <row r="51" spans="1:14" ht="13.5" customHeight="1">
      <c r="A51" s="133"/>
      <c r="B51" s="69" t="s">
        <v>101</v>
      </c>
      <c r="C51" s="91" t="str">
        <f>IF('勤務報告書(下)'!U50&lt;&gt;0,'勤務報告書(下)'!V50,"")</f>
        <v/>
      </c>
      <c r="D51" s="92" t="s">
        <v>95</v>
      </c>
      <c r="E51" s="93" t="str">
        <f>IF('勤務報告書(下)'!U50&lt;&gt;0,'勤務報告書(下)'!W50,"")</f>
        <v/>
      </c>
      <c r="F51" s="77" t="str">
        <f>'勤務報告書(下)'!G51</f>
        <v/>
      </c>
      <c r="G51" s="82" t="str">
        <f>'勤務報告書(下)'!H51</f>
        <v/>
      </c>
      <c r="H51" s="61" t="str">
        <f>IF('勤務報告書(下)'!I51&lt;&gt;0,'勤務報告書(下)'!I51,"- ")</f>
        <v/>
      </c>
      <c r="I51" s="98" t="str">
        <f>'勤務報告書(下)'!J51</f>
        <v/>
      </c>
      <c r="J51" s="287"/>
      <c r="K51" s="288"/>
      <c r="L51" s="289"/>
      <c r="M51" s="96"/>
      <c r="N51" s="7"/>
    </row>
    <row r="52" spans="1:14" ht="13.5" customHeight="1">
      <c r="A52" s="133"/>
      <c r="B52" s="66"/>
      <c r="C52" s="90" t="s">
        <v>117</v>
      </c>
      <c r="D52" s="87"/>
      <c r="E52" s="87"/>
      <c r="F52" s="62"/>
      <c r="G52" s="81"/>
      <c r="H52" s="60" t="str">
        <f>IF('勤務報告書(下)'!I52&lt;&gt;0,'勤務報告書(下)'!I52,"- ")</f>
        <v xml:space="preserve">- </v>
      </c>
      <c r="I52" s="76" t="s">
        <v>96</v>
      </c>
      <c r="J52" s="300"/>
      <c r="K52" s="282"/>
      <c r="L52" s="283"/>
      <c r="M52" s="122"/>
      <c r="N52" s="8"/>
    </row>
    <row r="53" spans="1:14" ht="13.5" customHeight="1">
      <c r="A53" s="133"/>
      <c r="B53" s="83" t="s">
        <v>122</v>
      </c>
      <c r="C53" s="79" t="str">
        <f>IF('勤務報告書(下)'!C53&lt;&gt;"",'勤務報告書(下)'!C53,"")</f>
        <v/>
      </c>
      <c r="D53" s="78" t="s">
        <v>95</v>
      </c>
      <c r="E53" s="80" t="str">
        <f>IF('勤務報告書(下)'!E53&lt;&gt;"",'勤務報告書(下)'!E53,"")</f>
        <v/>
      </c>
      <c r="F53" s="63"/>
      <c r="G53" s="60"/>
      <c r="H53" s="60" t="str">
        <f>IF('勤務報告書(下)'!I53&lt;&gt;0,'勤務報告書(下)'!I53,"- ")</f>
        <v xml:space="preserve">- </v>
      </c>
      <c r="I53" s="76" t="s">
        <v>96</v>
      </c>
      <c r="J53" s="284"/>
      <c r="K53" s="285"/>
      <c r="L53" s="286"/>
      <c r="M53" s="123"/>
      <c r="N53" s="6"/>
    </row>
    <row r="54" spans="1:14" ht="13.5" customHeight="1">
      <c r="A54" s="133"/>
      <c r="B54" s="69"/>
      <c r="C54" s="91" t="str">
        <f>IF('勤務報告書(下)'!U53&lt;&gt;0,'勤務報告書(下)'!V53,"")</f>
        <v/>
      </c>
      <c r="D54" s="92" t="s">
        <v>95</v>
      </c>
      <c r="E54" s="93" t="str">
        <f>IF('勤務報告書(下)'!U53&lt;&gt;0,'勤務報告書(下)'!W53,"")</f>
        <v/>
      </c>
      <c r="F54" s="77" t="str">
        <f>'勤務報告書(下)'!G54</f>
        <v/>
      </c>
      <c r="G54" s="82" t="str">
        <f>'勤務報告書(下)'!H54</f>
        <v/>
      </c>
      <c r="H54" s="61" t="str">
        <f>IF('勤務報告書(下)'!I54&lt;&gt;0,'勤務報告書(下)'!I54,"- ")</f>
        <v/>
      </c>
      <c r="I54" s="98" t="str">
        <f>'勤務報告書(下)'!J54</f>
        <v/>
      </c>
      <c r="J54" s="287"/>
      <c r="K54" s="288"/>
      <c r="L54" s="289"/>
      <c r="M54" s="124"/>
      <c r="N54" s="7"/>
    </row>
    <row r="55" spans="1:14" ht="13.5" customHeight="1">
      <c r="A55" s="133"/>
      <c r="B55" s="88" t="s">
        <v>72</v>
      </c>
      <c r="C55" s="48"/>
      <c r="D55" s="48"/>
      <c r="E55" s="134"/>
      <c r="F55" s="134"/>
      <c r="G55" s="134"/>
      <c r="H55" s="134"/>
      <c r="I55" s="134"/>
      <c r="J55" s="135"/>
      <c r="K55" s="135"/>
      <c r="L55" s="134"/>
      <c r="M55" s="135"/>
      <c r="N55" s="50"/>
    </row>
    <row r="56" spans="1:14" ht="13.5" customHeight="1">
      <c r="A56" s="133"/>
      <c r="B56" s="51"/>
      <c r="C56" s="187" t="s">
        <v>148</v>
      </c>
      <c r="D56" s="128"/>
      <c r="E56" s="185"/>
      <c r="F56" s="136"/>
      <c r="G56" s="265" t="str">
        <f>IF('勤務報告書(下)'!U56&gt;パラメタ!F11,"残業累計が"&amp;TEXT(パラメタ!F11,"0.0")&amp;"Hを超えています。","")</f>
        <v/>
      </c>
      <c r="H56" s="136"/>
      <c r="I56" s="136"/>
      <c r="J56" s="136"/>
      <c r="K56" s="136"/>
      <c r="L56" s="137"/>
      <c r="M56" s="136"/>
      <c r="N56" s="54"/>
    </row>
    <row r="57" spans="1:14" ht="13.5" customHeight="1">
      <c r="A57" s="133"/>
      <c r="B57" s="51"/>
      <c r="C57" s="187" t="s">
        <v>158</v>
      </c>
      <c r="D57" s="52"/>
      <c r="E57" s="186"/>
      <c r="F57" s="136"/>
      <c r="G57" s="265" t="str">
        <f>IF('勤務報告書(下)'!U56&gt;パラメタ!F11,"繁忙期申請の有無を記入してください。","")</f>
        <v/>
      </c>
      <c r="H57" s="136"/>
      <c r="I57" s="136"/>
      <c r="J57" s="136"/>
      <c r="K57" s="136"/>
      <c r="L57" s="136"/>
      <c r="M57" s="136"/>
      <c r="N57" s="54"/>
    </row>
    <row r="58" spans="1:14" ht="13.5" customHeight="1">
      <c r="A58" s="133"/>
      <c r="B58" s="89"/>
      <c r="C58" s="52"/>
      <c r="D58" s="52"/>
      <c r="E58" s="53"/>
      <c r="F58" s="136"/>
      <c r="G58" s="269" t="str">
        <f>IF('勤務報告書(下)'!U56&gt;VLOOKUP('勤務報告書(下)'!F4,パラメタ!E4:G6,3,FALSE),"あなたの月間上限時間"&amp;TEXT(VLOOKUP('勤務報告書(下)'!F4,パラメタ!E4:G6,3,FALSE),"0.0")&amp;"Hを超えています。","")</f>
        <v/>
      </c>
      <c r="H58" s="136"/>
      <c r="I58" s="136"/>
      <c r="J58" s="136"/>
      <c r="K58" s="136"/>
      <c r="L58" s="136"/>
      <c r="M58" s="136"/>
      <c r="N58" s="54"/>
    </row>
    <row r="59" spans="1:14" ht="15" customHeight="1">
      <c r="A59" s="133"/>
      <c r="B59" s="26"/>
      <c r="C59" s="56"/>
      <c r="D59" s="56"/>
      <c r="E59" s="57"/>
      <c r="F59" s="138"/>
      <c r="G59" s="138"/>
      <c r="H59" s="138"/>
      <c r="I59" s="138"/>
      <c r="J59" s="138"/>
      <c r="K59" s="138"/>
      <c r="L59" s="138"/>
      <c r="M59" s="138"/>
      <c r="N59" s="58"/>
    </row>
    <row r="60" spans="1:14" ht="13.5" customHeight="1">
      <c r="N60" s="129" t="str">
        <f>パラメタ!E2</f>
        <v>Ver2.0</v>
      </c>
    </row>
  </sheetData>
  <sheetProtection sheet="1" objects="1" scenarios="1"/>
  <mergeCells count="22">
    <mergeCell ref="L1:N1"/>
    <mergeCell ref="F4:G4"/>
    <mergeCell ref="J5:L6"/>
    <mergeCell ref="M5:N5"/>
    <mergeCell ref="J28:L30"/>
    <mergeCell ref="J31:L33"/>
    <mergeCell ref="J10:L12"/>
    <mergeCell ref="C4:D4"/>
    <mergeCell ref="H4:I4"/>
    <mergeCell ref="J7:L9"/>
    <mergeCell ref="J13:L15"/>
    <mergeCell ref="J16:L18"/>
    <mergeCell ref="J19:L21"/>
    <mergeCell ref="J22:L24"/>
    <mergeCell ref="J25:L27"/>
    <mergeCell ref="J49:L51"/>
    <mergeCell ref="J52:L54"/>
    <mergeCell ref="J34:L36"/>
    <mergeCell ref="J37:L39"/>
    <mergeCell ref="J40:L42"/>
    <mergeCell ref="J43:L45"/>
    <mergeCell ref="J46:L48"/>
  </mergeCells>
  <phoneticPr fontId="6"/>
  <dataValidations count="2">
    <dataValidation type="list" showInputMessage="1" showErrorMessage="1" errorTitle="勤務報告書" error="リストから選択して下さい！" sqref="E56">
      <formula1>申請リスト</formula1>
    </dataValidation>
    <dataValidation type="list" showInputMessage="1" showErrorMessage="1" errorTitle="勤務報告書" error="リストから選択して下さい！" sqref="E57">
      <formula1>回数リスト</formula1>
    </dataValidation>
  </dataValidations>
  <pageMargins left="0.31496062992125984" right="0.19685039370078741" top="0.39370078740157483" bottom="0.31496062992125984" header="0.31496062992125984" footer="0.23622047244094491"/>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3"/>
  <dimension ref="A1:V36"/>
  <sheetViews>
    <sheetView workbookViewId="0">
      <selection activeCell="G11" sqref="G11"/>
    </sheetView>
  </sheetViews>
  <sheetFormatPr defaultRowHeight="12"/>
  <cols>
    <col min="1" max="1" width="9.7109375" style="195" bestFit="1" customWidth="1"/>
    <col min="2" max="2" width="14.7109375" style="195" customWidth="1"/>
    <col min="3" max="3" width="2.140625" customWidth="1"/>
    <col min="4" max="4" width="9" customWidth="1"/>
    <col min="5" max="9" width="10.7109375" customWidth="1"/>
    <col min="10" max="10" width="7.28515625" customWidth="1"/>
    <col min="11" max="11" width="3.7109375" customWidth="1"/>
    <col min="12" max="14" width="10.28515625" bestFit="1" customWidth="1"/>
    <col min="15" max="15" width="3.7109375" customWidth="1"/>
    <col min="16" max="17" width="10.28515625" bestFit="1" customWidth="1"/>
    <col min="18" max="18" width="3.7109375" customWidth="1"/>
    <col min="19" max="21" width="9.28515625" customWidth="1"/>
    <col min="22" max="22" width="10.28515625" customWidth="1"/>
  </cols>
  <sheetData>
    <row r="1" spans="1:22" ht="13.5" customHeight="1">
      <c r="A1" s="198" t="s">
        <v>89</v>
      </c>
      <c r="B1" s="198"/>
      <c r="D1" s="173" t="s">
        <v>113</v>
      </c>
      <c r="E1" t="s">
        <v>114</v>
      </c>
      <c r="J1" s="313" t="s">
        <v>61</v>
      </c>
      <c r="K1" s="315" t="s">
        <v>62</v>
      </c>
      <c r="L1" s="64" t="s">
        <v>10</v>
      </c>
      <c r="M1" s="64" t="s">
        <v>63</v>
      </c>
      <c r="N1" s="64" t="s">
        <v>64</v>
      </c>
      <c r="O1" s="315" t="s">
        <v>7</v>
      </c>
      <c r="P1" s="64" t="s">
        <v>65</v>
      </c>
      <c r="Q1" s="64" t="s">
        <v>66</v>
      </c>
      <c r="R1" s="315" t="s">
        <v>67</v>
      </c>
      <c r="S1" s="64" t="s">
        <v>68</v>
      </c>
      <c r="T1" s="64" t="s">
        <v>69</v>
      </c>
      <c r="U1" s="64" t="s">
        <v>70</v>
      </c>
      <c r="V1" s="64" t="s">
        <v>71</v>
      </c>
    </row>
    <row r="2" spans="1:22" ht="15" customHeight="1">
      <c r="A2" s="196">
        <v>42370</v>
      </c>
      <c r="B2" s="195" t="s">
        <v>73</v>
      </c>
      <c r="D2" s="173"/>
      <c r="E2" t="s">
        <v>124</v>
      </c>
      <c r="J2" s="314"/>
      <c r="K2" s="316"/>
      <c r="L2" s="65" t="s">
        <v>93</v>
      </c>
      <c r="M2" s="65" t="s">
        <v>93</v>
      </c>
      <c r="N2" s="65" t="s">
        <v>93</v>
      </c>
      <c r="O2" s="316"/>
      <c r="P2" s="65" t="s">
        <v>93</v>
      </c>
      <c r="Q2" s="65" t="s">
        <v>93</v>
      </c>
      <c r="R2" s="316"/>
      <c r="S2" s="65" t="s">
        <v>94</v>
      </c>
      <c r="T2" s="65" t="s">
        <v>94</v>
      </c>
      <c r="U2" s="65" t="s">
        <v>94</v>
      </c>
      <c r="V2" s="65" t="s">
        <v>94</v>
      </c>
    </row>
    <row r="3" spans="1:22">
      <c r="A3" s="196">
        <v>42371</v>
      </c>
      <c r="B3" s="195" t="s">
        <v>88</v>
      </c>
      <c r="D3" s="173"/>
    </row>
    <row r="4" spans="1:22">
      <c r="A4" s="196">
        <v>42372</v>
      </c>
      <c r="B4" s="195" t="s">
        <v>88</v>
      </c>
      <c r="D4" s="173" t="s">
        <v>130</v>
      </c>
      <c r="E4" t="s">
        <v>131</v>
      </c>
      <c r="F4" s="156">
        <v>1</v>
      </c>
      <c r="G4" s="150">
        <f>ROUNDDOWN(F13*F4/0.5,0)*0.5</f>
        <v>90</v>
      </c>
      <c r="H4" s="173" t="s">
        <v>149</v>
      </c>
    </row>
    <row r="5" spans="1:22">
      <c r="A5" s="196">
        <v>42380</v>
      </c>
      <c r="B5" s="195" t="s">
        <v>74</v>
      </c>
      <c r="D5" s="173"/>
      <c r="E5" t="s">
        <v>132</v>
      </c>
      <c r="F5" s="156">
        <v>0.9</v>
      </c>
      <c r="G5" s="150">
        <f>ROUNDDOWN(F13*F5/0.5,0)*0.5</f>
        <v>81</v>
      </c>
      <c r="I5" t="s">
        <v>150</v>
      </c>
      <c r="J5" s="184" t="s">
        <v>152</v>
      </c>
    </row>
    <row r="6" spans="1:22">
      <c r="A6" s="196">
        <v>42411</v>
      </c>
      <c r="B6" s="195" t="s">
        <v>75</v>
      </c>
      <c r="D6" s="173"/>
      <c r="E6" t="s">
        <v>133</v>
      </c>
      <c r="F6" s="156">
        <v>0.9</v>
      </c>
      <c r="G6" s="150">
        <f>ROUNDDOWN(F13*F6/0.5,0)*0.5</f>
        <v>81</v>
      </c>
      <c r="I6" t="s">
        <v>151</v>
      </c>
      <c r="J6" s="184" t="s">
        <v>153</v>
      </c>
    </row>
    <row r="7" spans="1:22">
      <c r="A7" s="196">
        <v>42450</v>
      </c>
      <c r="B7" s="195" t="s">
        <v>76</v>
      </c>
      <c r="D7" s="173"/>
      <c r="J7" s="184" t="s">
        <v>154</v>
      </c>
    </row>
    <row r="8" spans="1:22">
      <c r="A8" s="196">
        <v>42489</v>
      </c>
      <c r="B8" s="195" t="s">
        <v>346</v>
      </c>
      <c r="D8" s="173" t="s">
        <v>134</v>
      </c>
      <c r="J8" s="184" t="s">
        <v>155</v>
      </c>
    </row>
    <row r="9" spans="1:22">
      <c r="A9" s="196">
        <v>42493</v>
      </c>
      <c r="B9" s="195" t="s">
        <v>78</v>
      </c>
      <c r="D9" s="173"/>
      <c r="E9" s="157" t="s">
        <v>136</v>
      </c>
      <c r="F9" s="158">
        <v>170</v>
      </c>
      <c r="G9" s="158" t="s">
        <v>137</v>
      </c>
      <c r="H9" s="159">
        <f>F9/HOUR(E16)</f>
        <v>21.25</v>
      </c>
      <c r="J9" s="184" t="s">
        <v>156</v>
      </c>
      <c r="K9" s="152"/>
      <c r="L9" s="152"/>
    </row>
    <row r="10" spans="1:22">
      <c r="A10" s="196">
        <v>42494</v>
      </c>
      <c r="B10" s="195" t="s">
        <v>77</v>
      </c>
      <c r="D10" s="173"/>
      <c r="E10" s="166" t="s">
        <v>139</v>
      </c>
      <c r="F10" s="165">
        <v>5</v>
      </c>
      <c r="G10" s="160"/>
      <c r="H10" s="160"/>
      <c r="I10" s="151"/>
      <c r="J10" s="184" t="s">
        <v>157</v>
      </c>
    </row>
    <row r="11" spans="1:22">
      <c r="A11" s="196">
        <v>42495</v>
      </c>
      <c r="B11" s="195" t="s">
        <v>79</v>
      </c>
      <c r="D11" s="173"/>
      <c r="E11" s="166" t="s">
        <v>140</v>
      </c>
      <c r="F11" s="165">
        <v>45</v>
      </c>
      <c r="G11" s="160" t="s">
        <v>135</v>
      </c>
      <c r="H11" s="158">
        <f>F11/H9</f>
        <v>2.1176470588235294</v>
      </c>
      <c r="I11" s="152"/>
    </row>
    <row r="12" spans="1:22">
      <c r="A12" s="196">
        <v>42496</v>
      </c>
      <c r="B12" s="195" t="s">
        <v>347</v>
      </c>
      <c r="D12" s="173"/>
      <c r="E12" s="167" t="s">
        <v>141</v>
      </c>
      <c r="F12" s="165">
        <v>360</v>
      </c>
      <c r="G12" s="161" t="s">
        <v>138</v>
      </c>
      <c r="H12" s="162">
        <f>F12/12</f>
        <v>30</v>
      </c>
      <c r="I12" s="149"/>
    </row>
    <row r="13" spans="1:22">
      <c r="A13" s="196">
        <v>42569</v>
      </c>
      <c r="B13" s="195" t="s">
        <v>80</v>
      </c>
      <c r="D13" s="173"/>
      <c r="E13" s="166" t="s">
        <v>142</v>
      </c>
      <c r="F13" s="165">
        <v>90</v>
      </c>
      <c r="G13" s="163" t="s">
        <v>143</v>
      </c>
      <c r="H13" s="164">
        <v>0.85</v>
      </c>
    </row>
    <row r="14" spans="1:22">
      <c r="A14" s="196">
        <v>42593</v>
      </c>
      <c r="B14" s="195" t="s">
        <v>355</v>
      </c>
      <c r="D14" s="173"/>
    </row>
    <row r="15" spans="1:22">
      <c r="A15" s="196">
        <v>42595</v>
      </c>
      <c r="B15" s="195" t="s">
        <v>86</v>
      </c>
      <c r="D15" s="173" t="s">
        <v>90</v>
      </c>
    </row>
    <row r="16" spans="1:22">
      <c r="A16" s="196">
        <v>42596</v>
      </c>
      <c r="B16" s="195" t="s">
        <v>86</v>
      </c>
      <c r="D16" s="168" t="s">
        <v>106</v>
      </c>
      <c r="E16" s="59">
        <v>0.33333333333333331</v>
      </c>
      <c r="F16" s="59"/>
      <c r="G16" s="127"/>
    </row>
    <row r="17" spans="1:9">
      <c r="A17" s="196">
        <v>42597</v>
      </c>
      <c r="B17" s="195" t="s">
        <v>86</v>
      </c>
      <c r="D17" s="143"/>
      <c r="E17" s="143" t="s">
        <v>126</v>
      </c>
      <c r="F17" s="143" t="s">
        <v>127</v>
      </c>
      <c r="G17" s="143" t="s">
        <v>107</v>
      </c>
    </row>
    <row r="18" spans="1:9">
      <c r="A18" s="196">
        <v>42598</v>
      </c>
      <c r="B18" s="195" t="s">
        <v>86</v>
      </c>
      <c r="D18" s="143" t="s">
        <v>116</v>
      </c>
      <c r="E18" s="197">
        <v>0.35416666666666669</v>
      </c>
      <c r="F18" s="144">
        <f>E18+E16+TIME(1,0,0)</f>
        <v>0.72916666666666663</v>
      </c>
      <c r="G18" s="145"/>
    </row>
    <row r="19" spans="1:9">
      <c r="A19" s="196">
        <v>42628</v>
      </c>
      <c r="B19" s="195" t="s">
        <v>81</v>
      </c>
      <c r="D19" s="169" t="s">
        <v>107</v>
      </c>
      <c r="E19" s="144">
        <f>IF(E18&lt;TIME(12,0,0),TIME(12,0,0),E18+TIME(3,0,0))</f>
        <v>0.5</v>
      </c>
      <c r="F19" s="144">
        <f>E19+TIME(1,0,0)</f>
        <v>0.54166666666666663</v>
      </c>
      <c r="G19" s="144">
        <f>TIME(1,0,0)</f>
        <v>4.1666666666666664E-2</v>
      </c>
    </row>
    <row r="20" spans="1:9">
      <c r="A20" s="196">
        <v>42635</v>
      </c>
      <c r="B20" s="195" t="s">
        <v>82</v>
      </c>
      <c r="D20" s="170"/>
      <c r="E20" s="144">
        <f>E18+TIME(9,0,0)</f>
        <v>0.72916666666666674</v>
      </c>
      <c r="F20" s="144">
        <f>E20+TIME(0,30,0)</f>
        <v>0.75000000000000011</v>
      </c>
      <c r="G20" s="144">
        <f>TIME(0,30,0)</f>
        <v>2.0833333333333332E-2</v>
      </c>
    </row>
    <row r="21" spans="1:9">
      <c r="A21" s="196">
        <v>42653</v>
      </c>
      <c r="B21" s="195" t="s">
        <v>83</v>
      </c>
      <c r="D21" s="170"/>
      <c r="E21" s="144">
        <f>F20+TIME(3,30,0)</f>
        <v>0.89583333333333348</v>
      </c>
      <c r="F21" s="144">
        <f>E21+TIME(0,30,0)</f>
        <v>0.91666666666666685</v>
      </c>
      <c r="G21" s="144">
        <f>TIME(0,30,0)</f>
        <v>2.0833333333333332E-2</v>
      </c>
    </row>
    <row r="22" spans="1:9">
      <c r="A22" s="196">
        <v>42677</v>
      </c>
      <c r="B22" s="195" t="s">
        <v>348</v>
      </c>
      <c r="D22" s="170"/>
      <c r="E22" s="144">
        <f>F21+TIME(6,30,0)</f>
        <v>1.1875000000000002</v>
      </c>
      <c r="F22" s="144">
        <f>E22+TIME(0,30,0)</f>
        <v>1.2083333333333335</v>
      </c>
      <c r="G22" s="144">
        <f>TIME(0,30,0)</f>
        <v>2.0833333333333332E-2</v>
      </c>
    </row>
    <row r="23" spans="1:9">
      <c r="A23" s="196">
        <v>42697</v>
      </c>
      <c r="B23" s="195" t="s">
        <v>84</v>
      </c>
      <c r="D23" s="171"/>
      <c r="E23" s="144">
        <f>F22+TIME(3,0,0)</f>
        <v>1.3333333333333335</v>
      </c>
      <c r="F23" s="144">
        <f>E23+TIME(0,30,0)</f>
        <v>1.3541666666666667</v>
      </c>
      <c r="G23" s="144">
        <f>TIME(0,30,0)</f>
        <v>2.0833333333333332E-2</v>
      </c>
    </row>
    <row r="24" spans="1:9">
      <c r="A24" s="196">
        <v>42727</v>
      </c>
      <c r="B24" s="195" t="s">
        <v>85</v>
      </c>
      <c r="D24" s="172"/>
      <c r="E24" s="146"/>
      <c r="F24" s="147" t="s">
        <v>125</v>
      </c>
      <c r="G24" s="144">
        <f>SUM(G19:G23)</f>
        <v>0.12499999999999999</v>
      </c>
    </row>
    <row r="25" spans="1:9">
      <c r="A25" s="196">
        <v>42734</v>
      </c>
      <c r="B25" s="195" t="s">
        <v>87</v>
      </c>
    </row>
    <row r="26" spans="1:9">
      <c r="A26" s="196">
        <v>42735</v>
      </c>
      <c r="B26" s="195" t="s">
        <v>87</v>
      </c>
    </row>
    <row r="28" spans="1:9">
      <c r="H28" s="127"/>
      <c r="I28" s="127"/>
    </row>
    <row r="29" spans="1:9">
      <c r="H29" s="153"/>
      <c r="I29" s="153"/>
    </row>
    <row r="30" spans="1:9">
      <c r="H30" s="154"/>
      <c r="I30" s="154"/>
    </row>
    <row r="31" spans="1:9">
      <c r="H31" s="155"/>
      <c r="I31" s="155"/>
    </row>
    <row r="32" spans="1:9">
      <c r="H32" s="155"/>
      <c r="I32" s="155"/>
    </row>
    <row r="33" spans="8:9">
      <c r="H33" s="155"/>
      <c r="I33" s="155"/>
    </row>
    <row r="34" spans="8:9">
      <c r="H34" s="155"/>
      <c r="I34" s="155"/>
    </row>
    <row r="35" spans="8:9">
      <c r="H35" s="155"/>
      <c r="I35" s="155"/>
    </row>
    <row r="36" spans="8:9">
      <c r="H36" s="155"/>
      <c r="I36" s="155"/>
    </row>
  </sheetData>
  <sheetProtection password="EBE6" sheet="1" objects="1" scenarios="1"/>
  <mergeCells count="4">
    <mergeCell ref="J1:J2"/>
    <mergeCell ref="K1:K2"/>
    <mergeCell ref="O1:O2"/>
    <mergeCell ref="R1:R2"/>
  </mergeCells>
  <phoneticPr fontId="6"/>
  <pageMargins left="0.78700000000000003" right="0.78700000000000003" top="0.88" bottom="0.98399999999999999" header="0.51200000000000001" footer="0.51200000000000001"/>
  <pageSetup paperSize="9" orientation="portrait" horizontalDpi="4294967293"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Sheet2"/>
  <dimension ref="A1:A57"/>
  <sheetViews>
    <sheetView showGridLines="0" topLeftCell="A25" workbookViewId="0"/>
  </sheetViews>
  <sheetFormatPr defaultRowHeight="12"/>
  <sheetData>
    <row r="1" spans="1:1">
      <c r="A1" t="s">
        <v>25</v>
      </c>
    </row>
    <row r="2" spans="1:1">
      <c r="A2" t="s">
        <v>26</v>
      </c>
    </row>
    <row r="3" spans="1:1">
      <c r="A3" t="s">
        <v>27</v>
      </c>
    </row>
    <row r="4" spans="1:1">
      <c r="A4" t="s">
        <v>26</v>
      </c>
    </row>
    <row r="5" spans="1:1">
      <c r="A5" t="s">
        <v>91</v>
      </c>
    </row>
    <row r="6" spans="1:1">
      <c r="A6" t="s">
        <v>28</v>
      </c>
    </row>
    <row r="7" spans="1:1">
      <c r="A7" t="s">
        <v>26</v>
      </c>
    </row>
    <row r="8" spans="1:1">
      <c r="A8" t="s">
        <v>338</v>
      </c>
    </row>
    <row r="9" spans="1:1">
      <c r="A9" t="s">
        <v>26</v>
      </c>
    </row>
    <row r="10" spans="1:1">
      <c r="A10" t="s">
        <v>339</v>
      </c>
    </row>
    <row r="11" spans="1:1">
      <c r="A11" t="s">
        <v>340</v>
      </c>
    </row>
    <row r="13" spans="1:1">
      <c r="A13" t="s">
        <v>29</v>
      </c>
    </row>
    <row r="14" spans="1:1">
      <c r="A14" t="s">
        <v>30</v>
      </c>
    </row>
    <row r="15" spans="1:1">
      <c r="A15" t="s">
        <v>26</v>
      </c>
    </row>
    <row r="16" spans="1:1">
      <c r="A16" t="s">
        <v>26</v>
      </c>
    </row>
    <row r="17" spans="1:1">
      <c r="A17" t="s">
        <v>31</v>
      </c>
    </row>
    <row r="18" spans="1:1">
      <c r="A18" t="s">
        <v>26</v>
      </c>
    </row>
    <row r="19" spans="1:1">
      <c r="A19" t="s">
        <v>32</v>
      </c>
    </row>
    <row r="20" spans="1:1">
      <c r="A20" t="s">
        <v>26</v>
      </c>
    </row>
    <row r="21" spans="1:1">
      <c r="A21" t="s">
        <v>33</v>
      </c>
    </row>
    <row r="22" spans="1:1">
      <c r="A22" t="s">
        <v>26</v>
      </c>
    </row>
    <row r="23" spans="1:1">
      <c r="A23" t="s">
        <v>34</v>
      </c>
    </row>
    <row r="24" spans="1:1">
      <c r="A24" t="s">
        <v>26</v>
      </c>
    </row>
    <row r="25" spans="1:1">
      <c r="A25" t="s">
        <v>35</v>
      </c>
    </row>
    <row r="26" spans="1:1">
      <c r="A26" t="s">
        <v>36</v>
      </c>
    </row>
    <row r="27" spans="1:1">
      <c r="A27" t="s">
        <v>37</v>
      </c>
    </row>
    <row r="28" spans="1:1">
      <c r="A28" t="s">
        <v>38</v>
      </c>
    </row>
    <row r="29" spans="1:1">
      <c r="A29" t="s">
        <v>39</v>
      </c>
    </row>
    <row r="30" spans="1:1">
      <c r="A30" t="s">
        <v>40</v>
      </c>
    </row>
    <row r="31" spans="1:1">
      <c r="A31" t="s">
        <v>41</v>
      </c>
    </row>
    <row r="32" spans="1:1">
      <c r="A32" t="s">
        <v>42</v>
      </c>
    </row>
    <row r="33" spans="1:1">
      <c r="A33" t="s">
        <v>26</v>
      </c>
    </row>
    <row r="34" spans="1:1">
      <c r="A34" t="s">
        <v>43</v>
      </c>
    </row>
    <row r="35" spans="1:1">
      <c r="A35" t="s">
        <v>26</v>
      </c>
    </row>
    <row r="36" spans="1:1">
      <c r="A36" t="s">
        <v>44</v>
      </c>
    </row>
    <row r="37" spans="1:1">
      <c r="A37" t="s">
        <v>26</v>
      </c>
    </row>
    <row r="38" spans="1:1">
      <c r="A38" t="s">
        <v>45</v>
      </c>
    </row>
    <row r="39" spans="1:1">
      <c r="A39" t="s">
        <v>92</v>
      </c>
    </row>
    <row r="40" spans="1:1">
      <c r="A40" t="s">
        <v>26</v>
      </c>
    </row>
    <row r="41" spans="1:1">
      <c r="A41" t="s">
        <v>59</v>
      </c>
    </row>
    <row r="42" spans="1:1">
      <c r="A42" t="s">
        <v>46</v>
      </c>
    </row>
    <row r="43" spans="1:1">
      <c r="A43" t="s">
        <v>47</v>
      </c>
    </row>
    <row r="44" spans="1:1">
      <c r="A44" t="s">
        <v>48</v>
      </c>
    </row>
    <row r="45" spans="1:1">
      <c r="A45" t="s">
        <v>49</v>
      </c>
    </row>
    <row r="46" spans="1:1">
      <c r="A46" t="s">
        <v>50</v>
      </c>
    </row>
    <row r="47" spans="1:1">
      <c r="A47" t="s">
        <v>51</v>
      </c>
    </row>
    <row r="48" spans="1:1">
      <c r="A48" t="s">
        <v>52</v>
      </c>
    </row>
    <row r="49" spans="1:1">
      <c r="A49" t="s">
        <v>53</v>
      </c>
    </row>
    <row r="50" spans="1:1">
      <c r="A50" t="s">
        <v>54</v>
      </c>
    </row>
    <row r="51" spans="1:1">
      <c r="A51" t="s">
        <v>26</v>
      </c>
    </row>
    <row r="52" spans="1:1">
      <c r="A52" t="s">
        <v>55</v>
      </c>
    </row>
    <row r="53" spans="1:1">
      <c r="A53" t="s">
        <v>56</v>
      </c>
    </row>
    <row r="54" spans="1:1">
      <c r="A54" t="s">
        <v>60</v>
      </c>
    </row>
    <row r="55" spans="1:1">
      <c r="A55" t="s">
        <v>57</v>
      </c>
    </row>
    <row r="56" spans="1:1">
      <c r="A56" t="s">
        <v>26</v>
      </c>
    </row>
    <row r="57" spans="1:1">
      <c r="A57" t="s">
        <v>58</v>
      </c>
    </row>
  </sheetData>
  <sheetProtection password="EBE6" sheet="1" objects="1" scenarios="1"/>
  <phoneticPr fontId="6"/>
  <pageMargins left="0.78700000000000003" right="0.78700000000000003" top="0.98399999999999999" bottom="0.98399999999999999" header="0.51200000000000001" footer="0.51200000000000001"/>
  <headerFooter alignWithMargins="0"/>
</worksheet>
</file>

<file path=xl/worksheets/sheet7.xml><?xml version="1.0" encoding="utf-8"?>
<worksheet xmlns="http://schemas.openxmlformats.org/spreadsheetml/2006/main" xmlns:r="http://schemas.openxmlformats.org/officeDocument/2006/relationships">
  <sheetPr codeName="Sheet8"/>
  <dimension ref="B1:N99"/>
  <sheetViews>
    <sheetView showGridLines="0" topLeftCell="A68" zoomScale="85" workbookViewId="0">
      <selection activeCell="B99" sqref="B99"/>
    </sheetView>
  </sheetViews>
  <sheetFormatPr defaultColWidth="10.28515625" defaultRowHeight="14.1" customHeight="1"/>
  <cols>
    <col min="1" max="1" width="10.28515625" style="221" customWidth="1"/>
    <col min="2" max="2" width="14.140625" style="221" customWidth="1"/>
    <col min="3" max="3" width="16" style="221" customWidth="1"/>
    <col min="4" max="4" width="10.28515625" style="221" customWidth="1"/>
    <col min="5" max="5" width="12.5703125" style="221" customWidth="1"/>
    <col min="6" max="6" width="10.28515625" style="221" customWidth="1"/>
    <col min="7" max="7" width="14.28515625" style="221" customWidth="1"/>
    <col min="8" max="12" width="10.28515625" style="221" customWidth="1"/>
    <col min="13" max="13" width="3.85546875" style="221" customWidth="1"/>
    <col min="14" max="16384" width="10.28515625" style="221"/>
  </cols>
  <sheetData>
    <row r="1" spans="2:12" ht="14.1" customHeight="1">
      <c r="C1" s="222"/>
      <c r="D1" s="222"/>
      <c r="E1" s="223"/>
    </row>
    <row r="2" spans="2:12" ht="14.1" customHeight="1">
      <c r="B2" s="224" t="s">
        <v>218</v>
      </c>
      <c r="C2" s="222" t="s">
        <v>219</v>
      </c>
      <c r="D2" s="222"/>
      <c r="E2" s="223"/>
    </row>
    <row r="3" spans="2:12" ht="14.1" customHeight="1">
      <c r="B3" s="224"/>
      <c r="C3" s="222" t="s">
        <v>220</v>
      </c>
      <c r="D3" s="222"/>
      <c r="E3" s="223"/>
    </row>
    <row r="4" spans="2:12" ht="14.1" customHeight="1">
      <c r="L4" s="225"/>
    </row>
    <row r="5" spans="2:12" ht="14.1" customHeight="1">
      <c r="B5" s="224" t="s">
        <v>221</v>
      </c>
      <c r="L5" s="225"/>
    </row>
    <row r="6" spans="2:12" ht="14.1" customHeight="1">
      <c r="B6" s="226" t="s">
        <v>222</v>
      </c>
      <c r="C6" s="227" t="s">
        <v>223</v>
      </c>
      <c r="D6" s="228">
        <v>5</v>
      </c>
      <c r="E6" s="229"/>
      <c r="F6" s="229"/>
    </row>
    <row r="7" spans="2:12" ht="14.1" customHeight="1">
      <c r="C7" s="227" t="s">
        <v>169</v>
      </c>
      <c r="D7" s="228">
        <v>45</v>
      </c>
      <c r="E7" s="229" t="s">
        <v>135</v>
      </c>
      <c r="F7" s="228">
        <f>D7/F9</f>
        <v>2.1176470588235294</v>
      </c>
    </row>
    <row r="8" spans="2:12" ht="14.1" customHeight="1">
      <c r="C8" s="230" t="s">
        <v>224</v>
      </c>
      <c r="D8" s="228">
        <v>360</v>
      </c>
      <c r="E8" s="231" t="s">
        <v>225</v>
      </c>
      <c r="F8" s="232">
        <f>D8/12</f>
        <v>30</v>
      </c>
      <c r="G8" s="227" t="s">
        <v>226</v>
      </c>
      <c r="H8" s="228">
        <v>90</v>
      </c>
    </row>
    <row r="9" spans="2:12" ht="14.1" customHeight="1">
      <c r="C9" s="227" t="s">
        <v>136</v>
      </c>
      <c r="D9" s="228">
        <v>170</v>
      </c>
      <c r="E9" s="228">
        <v>8</v>
      </c>
      <c r="F9" s="233">
        <f>D9/E9</f>
        <v>21.25</v>
      </c>
      <c r="G9" s="234" t="s">
        <v>227</v>
      </c>
    </row>
    <row r="10" spans="2:12" ht="14.1" customHeight="1">
      <c r="C10" s="235"/>
      <c r="D10" s="236"/>
      <c r="E10" s="236"/>
      <c r="F10" s="237"/>
      <c r="G10" s="238"/>
    </row>
    <row r="11" spans="2:12" ht="14.1" customHeight="1">
      <c r="B11" s="226" t="s">
        <v>228</v>
      </c>
      <c r="C11" s="239" t="s">
        <v>229</v>
      </c>
      <c r="D11" s="240"/>
      <c r="E11" s="240"/>
      <c r="F11" s="240"/>
      <c r="G11" s="240"/>
      <c r="H11" s="240"/>
      <c r="I11" s="240"/>
      <c r="J11" s="240"/>
      <c r="K11" s="240"/>
      <c r="L11" s="241"/>
    </row>
    <row r="12" spans="2:12" ht="14.1" customHeight="1">
      <c r="B12" s="238"/>
      <c r="C12" s="242" t="s">
        <v>230</v>
      </c>
      <c r="D12" s="243" t="s">
        <v>231</v>
      </c>
      <c r="E12" s="244"/>
      <c r="F12" s="244"/>
      <c r="G12" s="244"/>
      <c r="H12" s="244"/>
      <c r="I12" s="244"/>
      <c r="J12" s="244"/>
      <c r="K12" s="244"/>
      <c r="L12" s="245"/>
    </row>
    <row r="13" spans="2:12" ht="14.1" customHeight="1">
      <c r="B13" s="238"/>
      <c r="C13" s="242" t="s">
        <v>232</v>
      </c>
      <c r="D13" s="243" t="s">
        <v>233</v>
      </c>
      <c r="E13" s="244"/>
      <c r="F13" s="244"/>
      <c r="G13" s="244"/>
      <c r="H13" s="244"/>
      <c r="I13" s="244"/>
      <c r="J13" s="244"/>
      <c r="K13" s="244"/>
      <c r="L13" s="245"/>
    </row>
    <row r="14" spans="2:12" ht="14.1" customHeight="1">
      <c r="C14" s="246" t="s">
        <v>234</v>
      </c>
      <c r="D14" s="247" t="s">
        <v>235</v>
      </c>
      <c r="E14" s="248"/>
      <c r="F14" s="248"/>
      <c r="G14" s="248"/>
      <c r="H14" s="248"/>
      <c r="I14" s="249"/>
      <c r="J14" s="248"/>
      <c r="K14" s="248"/>
      <c r="L14" s="250"/>
    </row>
    <row r="15" spans="2:12" ht="14.1" customHeight="1">
      <c r="C15" s="251"/>
      <c r="D15" s="252" t="s">
        <v>236</v>
      </c>
      <c r="E15" s="240"/>
      <c r="F15" s="240"/>
      <c r="G15" s="240"/>
      <c r="H15" s="240"/>
      <c r="I15" s="241"/>
      <c r="J15" s="240"/>
      <c r="K15" s="240"/>
      <c r="L15" s="253"/>
    </row>
    <row r="16" spans="2:12" ht="14.1" customHeight="1">
      <c r="C16" s="221" t="s">
        <v>237</v>
      </c>
    </row>
    <row r="17" spans="3:14" ht="14.1" customHeight="1">
      <c r="C17" s="221" t="s">
        <v>238</v>
      </c>
    </row>
    <row r="18" spans="3:14" ht="14.1" customHeight="1">
      <c r="C18" s="254" t="s">
        <v>239</v>
      </c>
      <c r="D18" s="221" t="s">
        <v>240</v>
      </c>
      <c r="H18" s="225"/>
      <c r="I18" s="225"/>
    </row>
    <row r="19" spans="3:14" ht="14.1" customHeight="1">
      <c r="D19" s="229" t="s">
        <v>241</v>
      </c>
      <c r="E19" s="242" t="s">
        <v>230</v>
      </c>
      <c r="F19" s="228">
        <v>90</v>
      </c>
    </row>
    <row r="20" spans="3:14" ht="14.1" customHeight="1">
      <c r="E20" s="242" t="s">
        <v>232</v>
      </c>
      <c r="F20" s="228">
        <v>81</v>
      </c>
      <c r="G20" s="221" t="s">
        <v>341</v>
      </c>
      <c r="H20" s="221" t="s">
        <v>242</v>
      </c>
    </row>
    <row r="21" spans="3:14" ht="14.1" customHeight="1">
      <c r="E21" s="242" t="s">
        <v>234</v>
      </c>
      <c r="F21" s="228">
        <v>81</v>
      </c>
      <c r="G21" s="221" t="s">
        <v>341</v>
      </c>
      <c r="H21" s="221" t="s">
        <v>242</v>
      </c>
    </row>
    <row r="22" spans="3:14" ht="14.1" customHeight="1">
      <c r="D22" s="221" t="s">
        <v>243</v>
      </c>
    </row>
    <row r="23" spans="3:14" ht="14.1" customHeight="1">
      <c r="E23" s="221" t="s">
        <v>244</v>
      </c>
      <c r="F23" s="255">
        <v>0.85</v>
      </c>
      <c r="G23" s="221" t="s">
        <v>245</v>
      </c>
      <c r="H23" s="256"/>
      <c r="K23" s="257" t="s">
        <v>246</v>
      </c>
    </row>
    <row r="24" spans="3:14" ht="14.1" customHeight="1">
      <c r="E24" s="221" t="s">
        <v>247</v>
      </c>
      <c r="G24" s="229" t="s">
        <v>230</v>
      </c>
      <c r="H24" s="228">
        <f>F19</f>
        <v>90</v>
      </c>
      <c r="I24" s="227" t="s">
        <v>248</v>
      </c>
      <c r="J24" s="228">
        <f>H24*F23</f>
        <v>76.5</v>
      </c>
      <c r="K24" s="228">
        <f>ROUNDDOWN(J24/0.5,0)*0.5</f>
        <v>76.5</v>
      </c>
    </row>
    <row r="25" spans="3:14" ht="14.1" customHeight="1">
      <c r="G25" s="229" t="s">
        <v>232</v>
      </c>
      <c r="H25" s="228">
        <f>F20</f>
        <v>81</v>
      </c>
      <c r="I25" s="227" t="s">
        <v>248</v>
      </c>
      <c r="J25" s="228">
        <f>H25*F23</f>
        <v>68.849999999999994</v>
      </c>
      <c r="K25" s="228">
        <f>ROUNDDOWN(J25/0.5,0)*0.5</f>
        <v>68.5</v>
      </c>
    </row>
    <row r="26" spans="3:14" ht="14.1" customHeight="1">
      <c r="G26" s="229" t="s">
        <v>234</v>
      </c>
      <c r="H26" s="228">
        <f>F21</f>
        <v>81</v>
      </c>
      <c r="I26" s="227" t="s">
        <v>248</v>
      </c>
      <c r="J26" s="228">
        <f>H26*F23</f>
        <v>68.849999999999994</v>
      </c>
      <c r="K26" s="228">
        <f>ROUNDDOWN(J26/0.5,0)*0.5</f>
        <v>68.5</v>
      </c>
      <c r="L26" s="236"/>
      <c r="M26" s="235"/>
      <c r="N26" s="236"/>
    </row>
    <row r="27" spans="3:14" ht="14.1" customHeight="1">
      <c r="C27" s="258" t="s">
        <v>249</v>
      </c>
      <c r="D27" s="221" t="s">
        <v>250</v>
      </c>
    </row>
    <row r="28" spans="3:14" ht="14.1" customHeight="1">
      <c r="D28" s="221" t="s">
        <v>251</v>
      </c>
      <c r="E28" s="221" t="s">
        <v>252</v>
      </c>
    </row>
    <row r="29" spans="3:14" ht="14.1" customHeight="1">
      <c r="E29" s="221" t="s">
        <v>253</v>
      </c>
      <c r="F29" s="259"/>
    </row>
    <row r="30" spans="3:14" ht="14.1" customHeight="1">
      <c r="E30" s="221" t="s">
        <v>254</v>
      </c>
      <c r="F30" s="259"/>
    </row>
    <row r="31" spans="3:14" ht="14.1" customHeight="1">
      <c r="C31" s="260" t="s">
        <v>255</v>
      </c>
      <c r="D31" s="221" t="s">
        <v>256</v>
      </c>
    </row>
    <row r="32" spans="3:14" ht="14.1" customHeight="1">
      <c r="C32" s="260"/>
      <c r="D32" s="221" t="s">
        <v>251</v>
      </c>
      <c r="E32" s="221" t="s">
        <v>257</v>
      </c>
    </row>
    <row r="33" spans="2:6" ht="14.1" customHeight="1">
      <c r="C33" s="260"/>
      <c r="E33" s="221" t="s">
        <v>258</v>
      </c>
    </row>
    <row r="34" spans="2:6" ht="14.1" customHeight="1">
      <c r="C34" s="260"/>
      <c r="D34" s="225"/>
      <c r="E34" s="221" t="s">
        <v>259</v>
      </c>
    </row>
    <row r="35" spans="2:6" ht="14.1" customHeight="1">
      <c r="E35" s="221" t="s">
        <v>260</v>
      </c>
    </row>
    <row r="36" spans="2:6" ht="14.1" customHeight="1">
      <c r="E36" s="225"/>
    </row>
    <row r="37" spans="2:6" ht="14.1" customHeight="1">
      <c r="B37" s="226" t="s">
        <v>261</v>
      </c>
      <c r="C37" s="221" t="s">
        <v>262</v>
      </c>
    </row>
    <row r="38" spans="2:6" ht="14.1" customHeight="1">
      <c r="B38" s="238"/>
      <c r="C38" s="260" t="s">
        <v>263</v>
      </c>
      <c r="D38" s="221" t="s">
        <v>264</v>
      </c>
    </row>
    <row r="39" spans="2:6" ht="14.1" customHeight="1">
      <c r="B39" s="238"/>
      <c r="C39" s="260" t="s">
        <v>263</v>
      </c>
      <c r="D39" s="221" t="s">
        <v>265</v>
      </c>
    </row>
    <row r="40" spans="2:6" ht="14.1" customHeight="1">
      <c r="B40" s="238"/>
      <c r="D40" s="221" t="s">
        <v>266</v>
      </c>
    </row>
    <row r="41" spans="2:6" ht="14.1" customHeight="1">
      <c r="F41" s="259"/>
    </row>
    <row r="42" spans="2:6" ht="14.1" customHeight="1">
      <c r="B42" s="226" t="s">
        <v>267</v>
      </c>
      <c r="C42" s="221" t="s">
        <v>268</v>
      </c>
    </row>
    <row r="43" spans="2:6" ht="14.1" customHeight="1">
      <c r="C43" s="221" t="s">
        <v>269</v>
      </c>
    </row>
    <row r="44" spans="2:6" ht="14.1" customHeight="1">
      <c r="C44" s="221" t="s">
        <v>251</v>
      </c>
      <c r="D44" s="221" t="s">
        <v>270</v>
      </c>
    </row>
    <row r="45" spans="2:6" ht="14.1" customHeight="1">
      <c r="D45" s="221" t="s">
        <v>271</v>
      </c>
    </row>
    <row r="46" spans="2:6" ht="14.1" customHeight="1">
      <c r="D46" s="221" t="s">
        <v>272</v>
      </c>
    </row>
    <row r="47" spans="2:6" ht="14.1" customHeight="1">
      <c r="C47" s="221" t="s">
        <v>273</v>
      </c>
    </row>
    <row r="48" spans="2:6" ht="14.1" customHeight="1">
      <c r="D48" s="221" t="s">
        <v>274</v>
      </c>
    </row>
    <row r="49" spans="2:4" ht="14.1" customHeight="1">
      <c r="C49" s="221" t="s">
        <v>275</v>
      </c>
    </row>
    <row r="52" spans="2:4" ht="14.1" customHeight="1">
      <c r="B52" s="226" t="s">
        <v>276</v>
      </c>
      <c r="C52" s="221" t="s">
        <v>277</v>
      </c>
    </row>
    <row r="53" spans="2:4" ht="14.1" customHeight="1">
      <c r="B53" s="238"/>
      <c r="C53" s="225" t="s">
        <v>278</v>
      </c>
    </row>
    <row r="54" spans="2:4" ht="14.1" customHeight="1">
      <c r="B54" s="238"/>
      <c r="C54" s="221" t="s">
        <v>279</v>
      </c>
    </row>
    <row r="55" spans="2:4" ht="14.1" customHeight="1">
      <c r="C55" s="225" t="s">
        <v>280</v>
      </c>
    </row>
    <row r="57" spans="2:4" ht="14.1" customHeight="1">
      <c r="B57" s="226" t="s">
        <v>281</v>
      </c>
      <c r="C57" s="221" t="s">
        <v>282</v>
      </c>
    </row>
    <row r="58" spans="2:4" ht="14.1" customHeight="1">
      <c r="B58" s="238"/>
      <c r="C58" s="221" t="s">
        <v>251</v>
      </c>
      <c r="D58" s="221" t="s">
        <v>283</v>
      </c>
    </row>
    <row r="59" spans="2:4" ht="14.1" customHeight="1">
      <c r="B59" s="238"/>
      <c r="D59" s="221" t="s">
        <v>284</v>
      </c>
    </row>
    <row r="60" spans="2:4" ht="14.1" customHeight="1">
      <c r="C60" s="221" t="s">
        <v>285</v>
      </c>
    </row>
    <row r="61" spans="2:4" ht="14.1" customHeight="1">
      <c r="C61" s="260" t="s">
        <v>263</v>
      </c>
      <c r="D61" s="221" t="s">
        <v>164</v>
      </c>
    </row>
    <row r="62" spans="2:4" ht="14.1" customHeight="1">
      <c r="B62" s="238"/>
      <c r="C62" s="260" t="s">
        <v>263</v>
      </c>
      <c r="D62" s="221" t="s">
        <v>286</v>
      </c>
    </row>
    <row r="63" spans="2:4" ht="14.1" customHeight="1">
      <c r="C63" s="221" t="s">
        <v>287</v>
      </c>
    </row>
    <row r="65" spans="2:4" ht="14.1" customHeight="1">
      <c r="B65" s="226" t="s">
        <v>288</v>
      </c>
      <c r="C65" s="221" t="s">
        <v>289</v>
      </c>
    </row>
    <row r="66" spans="2:4" ht="14.1" customHeight="1">
      <c r="C66" s="221" t="s">
        <v>343</v>
      </c>
    </row>
    <row r="67" spans="2:4" ht="14.1" customHeight="1">
      <c r="C67" s="225" t="s">
        <v>344</v>
      </c>
    </row>
    <row r="68" spans="2:4" ht="14.1" customHeight="1">
      <c r="C68" s="221" t="s">
        <v>342</v>
      </c>
    </row>
    <row r="70" spans="2:4" ht="14.1" customHeight="1">
      <c r="B70" s="226" t="s">
        <v>290</v>
      </c>
      <c r="C70" s="221" t="s">
        <v>291</v>
      </c>
    </row>
    <row r="71" spans="2:4" ht="14.1" customHeight="1">
      <c r="C71" s="260" t="s">
        <v>292</v>
      </c>
      <c r="D71" s="221" t="s">
        <v>293</v>
      </c>
    </row>
    <row r="72" spans="2:4" ht="14.1" customHeight="1">
      <c r="C72" s="260" t="s">
        <v>294</v>
      </c>
      <c r="D72" s="221" t="s">
        <v>295</v>
      </c>
    </row>
    <row r="73" spans="2:4" ht="14.1" customHeight="1">
      <c r="C73" s="260"/>
    </row>
    <row r="74" spans="2:4" ht="14.1" customHeight="1">
      <c r="B74" s="261" t="s">
        <v>296</v>
      </c>
      <c r="C74" s="262"/>
    </row>
    <row r="75" spans="2:4" ht="14.1" customHeight="1">
      <c r="B75" s="260" t="s">
        <v>297</v>
      </c>
      <c r="C75" s="221" t="s">
        <v>298</v>
      </c>
    </row>
    <row r="76" spans="2:4" ht="14.1" customHeight="1">
      <c r="C76" s="221" t="s">
        <v>299</v>
      </c>
    </row>
    <row r="77" spans="2:4" ht="14.1" customHeight="1">
      <c r="C77" s="260" t="s">
        <v>297</v>
      </c>
      <c r="D77" s="221" t="s">
        <v>300</v>
      </c>
    </row>
    <row r="78" spans="2:4" ht="14.1" customHeight="1">
      <c r="D78" s="221" t="s">
        <v>301</v>
      </c>
    </row>
    <row r="79" spans="2:4" ht="14.1" customHeight="1">
      <c r="C79" s="260" t="s">
        <v>302</v>
      </c>
      <c r="D79" s="221" t="s">
        <v>303</v>
      </c>
    </row>
    <row r="80" spans="2:4" ht="14.1" customHeight="1">
      <c r="D80" s="221" t="s">
        <v>304</v>
      </c>
    </row>
    <row r="81" spans="2:12" ht="14.1" customHeight="1">
      <c r="C81" s="260"/>
      <c r="D81" s="221" t="s">
        <v>305</v>
      </c>
    </row>
    <row r="82" spans="2:12" ht="14.1" customHeight="1">
      <c r="B82" s="260" t="s">
        <v>306</v>
      </c>
      <c r="C82" s="221" t="s">
        <v>307</v>
      </c>
    </row>
    <row r="83" spans="2:12" ht="14.1" customHeight="1">
      <c r="B83" s="260"/>
      <c r="C83" s="225" t="s">
        <v>308</v>
      </c>
    </row>
    <row r="84" spans="2:12" ht="14.1" customHeight="1">
      <c r="B84" s="260" t="s">
        <v>309</v>
      </c>
      <c r="C84" s="221" t="s">
        <v>310</v>
      </c>
    </row>
    <row r="85" spans="2:12" ht="14.1" customHeight="1">
      <c r="B85" s="260" t="s">
        <v>311</v>
      </c>
      <c r="C85" s="221" t="s">
        <v>312</v>
      </c>
    </row>
    <row r="86" spans="2:12" ht="14.1" customHeight="1">
      <c r="B86" s="260"/>
      <c r="C86" s="221" t="s">
        <v>313</v>
      </c>
    </row>
    <row r="88" spans="2:12" ht="14.1" customHeight="1">
      <c r="B88" s="261" t="s">
        <v>314</v>
      </c>
      <c r="C88" s="262"/>
    </row>
    <row r="89" spans="2:12" ht="14.1" customHeight="1">
      <c r="C89" s="263" t="s">
        <v>315</v>
      </c>
      <c r="D89" s="221" t="s">
        <v>165</v>
      </c>
      <c r="K89" s="221" t="s">
        <v>316</v>
      </c>
    </row>
    <row r="90" spans="2:12" ht="14.1" customHeight="1">
      <c r="C90" s="264" t="s">
        <v>317</v>
      </c>
      <c r="D90" s="221" t="s">
        <v>166</v>
      </c>
      <c r="K90" s="256" t="s">
        <v>318</v>
      </c>
      <c r="L90" s="221" t="s">
        <v>319</v>
      </c>
    </row>
    <row r="91" spans="2:12" ht="14.1" customHeight="1">
      <c r="D91" s="264" t="s">
        <v>320</v>
      </c>
      <c r="K91" s="256"/>
    </row>
    <row r="92" spans="2:12" ht="14.1" customHeight="1">
      <c r="D92" s="264" t="s">
        <v>321</v>
      </c>
      <c r="K92" s="256"/>
    </row>
    <row r="93" spans="2:12" ht="14.1" customHeight="1">
      <c r="C93" s="263" t="s">
        <v>322</v>
      </c>
      <c r="D93" s="221" t="s">
        <v>323</v>
      </c>
      <c r="K93" s="256" t="s">
        <v>324</v>
      </c>
      <c r="L93" s="221" t="s">
        <v>325</v>
      </c>
    </row>
    <row r="94" spans="2:12" ht="14.1" customHeight="1">
      <c r="C94" s="263" t="s">
        <v>322</v>
      </c>
      <c r="D94" s="221" t="s">
        <v>326</v>
      </c>
      <c r="K94" s="256" t="s">
        <v>324</v>
      </c>
      <c r="L94" s="221" t="s">
        <v>327</v>
      </c>
    </row>
    <row r="95" spans="2:12" ht="14.1" customHeight="1">
      <c r="C95" s="263" t="s">
        <v>322</v>
      </c>
      <c r="D95" s="221" t="s">
        <v>328</v>
      </c>
      <c r="K95" s="256" t="s">
        <v>329</v>
      </c>
      <c r="L95" s="221" t="s">
        <v>330</v>
      </c>
    </row>
    <row r="96" spans="2:12" ht="14.1" customHeight="1">
      <c r="C96" s="263" t="s">
        <v>331</v>
      </c>
      <c r="D96" s="221" t="s">
        <v>332</v>
      </c>
      <c r="K96" s="256" t="s">
        <v>329</v>
      </c>
      <c r="L96" s="221" t="s">
        <v>333</v>
      </c>
    </row>
    <row r="97" spans="2:3" ht="14.1" customHeight="1">
      <c r="B97" s="260" t="s">
        <v>334</v>
      </c>
      <c r="C97" s="221" t="s">
        <v>335</v>
      </c>
    </row>
    <row r="98" spans="2:3" ht="14.1" customHeight="1">
      <c r="B98" s="260" t="s">
        <v>334</v>
      </c>
      <c r="C98" s="221" t="s">
        <v>336</v>
      </c>
    </row>
    <row r="99" spans="2:3" ht="14.1" customHeight="1">
      <c r="C99" s="221" t="s">
        <v>337</v>
      </c>
    </row>
  </sheetData>
  <sheetProtection password="EBE6" sheet="1" objects="1" scenarios="1"/>
  <phoneticPr fontId="25"/>
  <pageMargins left="0.24" right="0.28000000000000003" top="0.48" bottom="0.31" header="0.31" footer="0.2"/>
  <pageSetup paperSize="9" scale="80" orientation="landscape" r:id="rId1"/>
  <headerFooter alignWithMargins="0">
    <oddHeader>&amp;C&amp;A&amp;R平成２３年１月</oddHeader>
    <oddFooter>&amp;C- &amp;P / &amp;N -</oddFooter>
  </headerFooter>
  <drawing r:id="rId2"/>
</worksheet>
</file>

<file path=xl/worksheets/sheet8.xml><?xml version="1.0" encoding="utf-8"?>
<worksheet xmlns="http://schemas.openxmlformats.org/spreadsheetml/2006/main" xmlns:r="http://schemas.openxmlformats.org/officeDocument/2006/relationships">
  <sheetPr codeName="Sheet6"/>
  <dimension ref="A1:AV61"/>
  <sheetViews>
    <sheetView showGridLines="0" topLeftCell="A4" workbookViewId="0">
      <selection activeCell="H31" sqref="H31"/>
    </sheetView>
  </sheetViews>
  <sheetFormatPr defaultColWidth="5.28515625" defaultRowHeight="13.5"/>
  <cols>
    <col min="1" max="1" width="5.28515625" style="200" customWidth="1"/>
    <col min="2" max="8" width="11" style="200" customWidth="1"/>
    <col min="9" max="11" width="5.28515625" style="200" customWidth="1"/>
    <col min="12" max="18" width="11" style="200" customWidth="1"/>
    <col min="19" max="21" width="5.28515625" style="200" customWidth="1"/>
    <col min="22" max="28" width="11" style="200" customWidth="1"/>
    <col min="29" max="31" width="5.28515625" style="200" customWidth="1"/>
    <col min="32" max="38" width="11" style="200" customWidth="1"/>
    <col min="39" max="39" width="8.7109375" style="200" customWidth="1"/>
    <col min="40" max="40" width="5.28515625" style="200" customWidth="1"/>
    <col min="41" max="47" width="11" style="200" customWidth="1"/>
    <col min="48" max="48" width="8.7109375" style="200" customWidth="1"/>
    <col min="49" max="16384" width="5.28515625" style="200"/>
  </cols>
  <sheetData>
    <row r="1" spans="1:40">
      <c r="E1" s="201" t="s">
        <v>167</v>
      </c>
    </row>
    <row r="2" spans="1:40">
      <c r="B2" s="201" t="s">
        <v>168</v>
      </c>
      <c r="C2" s="202" t="s">
        <v>169</v>
      </c>
      <c r="D2" s="202" t="s">
        <v>161</v>
      </c>
      <c r="E2" s="201" t="s">
        <v>170</v>
      </c>
      <c r="F2" s="202" t="s">
        <v>162</v>
      </c>
      <c r="G2" s="202" t="s">
        <v>163</v>
      </c>
      <c r="H2" s="203" t="s">
        <v>171</v>
      </c>
    </row>
    <row r="3" spans="1:40">
      <c r="A3" s="204" t="s">
        <v>172</v>
      </c>
      <c r="B3" s="320">
        <v>1.35</v>
      </c>
      <c r="C3" s="205"/>
      <c r="D3" s="205"/>
      <c r="E3" s="320">
        <v>1.25</v>
      </c>
      <c r="F3" s="205"/>
      <c r="G3" s="205"/>
      <c r="H3" s="320">
        <v>1.25</v>
      </c>
    </row>
    <row r="4" spans="1:40">
      <c r="A4" s="204" t="s">
        <v>173</v>
      </c>
      <c r="B4" s="318"/>
      <c r="C4" s="206"/>
      <c r="D4" s="206"/>
      <c r="E4" s="318"/>
      <c r="F4" s="206"/>
      <c r="G4" s="206"/>
      <c r="H4" s="318"/>
    </row>
    <row r="5" spans="1:40">
      <c r="A5" s="204" t="s">
        <v>174</v>
      </c>
      <c r="B5" s="318"/>
      <c r="C5" s="206"/>
      <c r="D5" s="206"/>
      <c r="E5" s="318"/>
      <c r="F5" s="206"/>
      <c r="G5" s="206"/>
      <c r="H5" s="318"/>
    </row>
    <row r="6" spans="1:40">
      <c r="A6" s="204" t="s">
        <v>175</v>
      </c>
      <c r="B6" s="318"/>
      <c r="C6" s="206"/>
      <c r="D6" s="206"/>
      <c r="E6" s="318"/>
      <c r="F6" s="206"/>
      <c r="G6" s="206"/>
      <c r="H6" s="318"/>
    </row>
    <row r="7" spans="1:40">
      <c r="A7" s="204" t="s">
        <v>176</v>
      </c>
      <c r="B7" s="318"/>
      <c r="C7" s="206"/>
      <c r="D7" s="206"/>
      <c r="E7" s="318"/>
      <c r="F7" s="206"/>
      <c r="G7" s="206"/>
      <c r="H7" s="318"/>
    </row>
    <row r="8" spans="1:40">
      <c r="A8" s="204" t="s">
        <v>177</v>
      </c>
      <c r="B8" s="318"/>
      <c r="C8" s="206"/>
      <c r="D8" s="206"/>
      <c r="E8" s="318"/>
      <c r="F8" s="206"/>
      <c r="G8" s="206"/>
      <c r="H8" s="318"/>
    </row>
    <row r="9" spans="1:40">
      <c r="A9" s="204" t="s">
        <v>178</v>
      </c>
      <c r="B9" s="318"/>
      <c r="C9" s="206"/>
      <c r="D9" s="206"/>
      <c r="E9" s="318"/>
      <c r="F9" s="206"/>
      <c r="G9" s="206"/>
      <c r="H9" s="318"/>
    </row>
    <row r="10" spans="1:40">
      <c r="A10" s="204" t="s">
        <v>179</v>
      </c>
      <c r="B10" s="318"/>
      <c r="C10" s="207"/>
      <c r="D10" s="207"/>
      <c r="E10" s="318"/>
      <c r="F10" s="207"/>
      <c r="G10" s="207"/>
      <c r="H10" s="318"/>
    </row>
    <row r="11" spans="1:40">
      <c r="A11" s="204" t="s">
        <v>180</v>
      </c>
      <c r="B11" s="318"/>
      <c r="C11" s="208"/>
      <c r="D11" s="208"/>
      <c r="E11" s="318"/>
      <c r="F11" s="208"/>
      <c r="G11" s="208"/>
      <c r="H11" s="318"/>
    </row>
    <row r="12" spans="1:40">
      <c r="A12" s="204" t="s">
        <v>181</v>
      </c>
      <c r="B12" s="319"/>
      <c r="C12" s="209"/>
      <c r="D12" s="209"/>
      <c r="E12" s="319"/>
      <c r="F12" s="209"/>
      <c r="G12" s="209"/>
      <c r="H12" s="319"/>
    </row>
    <row r="13" spans="1:40">
      <c r="A13" s="204" t="s">
        <v>182</v>
      </c>
      <c r="B13" s="210" t="s">
        <v>183</v>
      </c>
      <c r="C13" s="209"/>
      <c r="D13" s="209"/>
      <c r="E13" s="211"/>
      <c r="F13" s="209"/>
      <c r="G13" s="209"/>
      <c r="H13" s="211"/>
    </row>
    <row r="14" spans="1:40">
      <c r="A14" s="204"/>
      <c r="B14" s="211"/>
      <c r="C14" s="209"/>
      <c r="D14" s="209"/>
      <c r="E14" s="211"/>
      <c r="F14" s="209"/>
      <c r="G14" s="209"/>
      <c r="H14" s="211"/>
    </row>
    <row r="16" spans="1:40">
      <c r="A16" s="200" t="s">
        <v>184</v>
      </c>
      <c r="K16" s="200" t="s">
        <v>185</v>
      </c>
      <c r="U16" s="200" t="s">
        <v>186</v>
      </c>
      <c r="AE16" s="200" t="s">
        <v>187</v>
      </c>
      <c r="AN16" s="200" t="s">
        <v>188</v>
      </c>
    </row>
    <row r="17" spans="1:48">
      <c r="B17" s="200" t="s">
        <v>189</v>
      </c>
      <c r="L17" s="200" t="s">
        <v>189</v>
      </c>
      <c r="V17" s="200" t="s">
        <v>189</v>
      </c>
      <c r="AF17" s="200" t="s">
        <v>189</v>
      </c>
      <c r="AO17" s="200" t="s">
        <v>189</v>
      </c>
    </row>
    <row r="18" spans="1:48">
      <c r="B18" s="200" t="s">
        <v>190</v>
      </c>
      <c r="L18" s="200" t="s">
        <v>190</v>
      </c>
      <c r="V18" s="200" t="s">
        <v>190</v>
      </c>
      <c r="AF18" s="200" t="s">
        <v>190</v>
      </c>
      <c r="AO18" s="200" t="s">
        <v>190</v>
      </c>
    </row>
    <row r="19" spans="1:48">
      <c r="B19" s="201" t="s">
        <v>168</v>
      </c>
      <c r="C19" s="202" t="s">
        <v>169</v>
      </c>
      <c r="D19" s="202" t="s">
        <v>161</v>
      </c>
      <c r="E19" s="201" t="s">
        <v>170</v>
      </c>
      <c r="F19" s="202" t="s">
        <v>162</v>
      </c>
      <c r="G19" s="202" t="s">
        <v>163</v>
      </c>
      <c r="H19" s="203" t="s">
        <v>171</v>
      </c>
      <c r="L19" s="201" t="s">
        <v>168</v>
      </c>
      <c r="M19" s="202" t="s">
        <v>169</v>
      </c>
      <c r="N19" s="202" t="s">
        <v>161</v>
      </c>
      <c r="O19" s="201" t="s">
        <v>170</v>
      </c>
      <c r="P19" s="202" t="s">
        <v>162</v>
      </c>
      <c r="Q19" s="202" t="s">
        <v>163</v>
      </c>
      <c r="R19" s="203" t="s">
        <v>171</v>
      </c>
      <c r="V19" s="201" t="s">
        <v>168</v>
      </c>
      <c r="W19" s="202" t="s">
        <v>169</v>
      </c>
      <c r="X19" s="202" t="s">
        <v>161</v>
      </c>
      <c r="Y19" s="201" t="s">
        <v>170</v>
      </c>
      <c r="Z19" s="202" t="s">
        <v>162</v>
      </c>
      <c r="AA19" s="202" t="s">
        <v>163</v>
      </c>
      <c r="AB19" s="203" t="s">
        <v>171</v>
      </c>
      <c r="AF19" s="201" t="s">
        <v>168</v>
      </c>
      <c r="AG19" s="202" t="s">
        <v>169</v>
      </c>
      <c r="AH19" s="202" t="s">
        <v>161</v>
      </c>
      <c r="AI19" s="201" t="s">
        <v>170</v>
      </c>
      <c r="AJ19" s="202" t="s">
        <v>162</v>
      </c>
      <c r="AK19" s="202" t="s">
        <v>163</v>
      </c>
      <c r="AL19" s="203" t="s">
        <v>171</v>
      </c>
      <c r="AO19" s="201" t="s">
        <v>168</v>
      </c>
      <c r="AP19" s="202" t="s">
        <v>169</v>
      </c>
      <c r="AQ19" s="202" t="s">
        <v>161</v>
      </c>
      <c r="AR19" s="201" t="s">
        <v>170</v>
      </c>
      <c r="AS19" s="202" t="s">
        <v>162</v>
      </c>
      <c r="AT19" s="202" t="s">
        <v>163</v>
      </c>
      <c r="AU19" s="203" t="s">
        <v>171</v>
      </c>
      <c r="AV19" s="203" t="s">
        <v>191</v>
      </c>
    </row>
    <row r="20" spans="1:48">
      <c r="A20" s="204" t="s">
        <v>172</v>
      </c>
      <c r="B20" s="321" t="s">
        <v>192</v>
      </c>
      <c r="C20" s="205"/>
      <c r="D20" s="205"/>
      <c r="E20" s="321" t="s">
        <v>192</v>
      </c>
      <c r="F20" s="205"/>
      <c r="G20" s="205"/>
      <c r="H20" s="321" t="s">
        <v>192</v>
      </c>
      <c r="K20" s="204" t="s">
        <v>193</v>
      </c>
      <c r="L20" s="330" t="s">
        <v>194</v>
      </c>
      <c r="M20" s="205"/>
      <c r="N20" s="205"/>
      <c r="O20" s="321" t="s">
        <v>192</v>
      </c>
      <c r="P20" s="205"/>
      <c r="Q20" s="205"/>
      <c r="R20" s="321" t="s">
        <v>192</v>
      </c>
      <c r="U20" s="204" t="s">
        <v>193</v>
      </c>
      <c r="V20" s="330" t="s">
        <v>194</v>
      </c>
      <c r="W20" s="205"/>
      <c r="X20" s="205"/>
      <c r="Y20" s="320">
        <v>1.25</v>
      </c>
      <c r="Z20" s="205"/>
      <c r="AA20" s="205"/>
      <c r="AB20" s="321" t="s">
        <v>192</v>
      </c>
      <c r="AE20" s="204" t="s">
        <v>193</v>
      </c>
      <c r="AF20" s="330" t="s">
        <v>194</v>
      </c>
      <c r="AG20" s="205"/>
      <c r="AH20" s="205"/>
      <c r="AI20" s="212"/>
      <c r="AJ20" s="205"/>
      <c r="AK20" s="205"/>
      <c r="AL20" s="213"/>
      <c r="AM20" s="340" t="s">
        <v>192</v>
      </c>
      <c r="AN20" s="204" t="s">
        <v>193</v>
      </c>
      <c r="AO20" s="321" t="s">
        <v>192</v>
      </c>
      <c r="AP20" s="205"/>
      <c r="AQ20" s="205"/>
      <c r="AR20" s="212"/>
      <c r="AS20" s="205"/>
      <c r="AT20" s="205"/>
      <c r="AU20" s="213"/>
      <c r="AV20" s="340" t="s">
        <v>192</v>
      </c>
    </row>
    <row r="21" spans="1:48">
      <c r="A21" s="204" t="s">
        <v>195</v>
      </c>
      <c r="B21" s="322"/>
      <c r="C21" s="206"/>
      <c r="D21" s="206"/>
      <c r="E21" s="322"/>
      <c r="F21" s="206"/>
      <c r="G21" s="206"/>
      <c r="H21" s="322"/>
      <c r="K21" s="204" t="s">
        <v>195</v>
      </c>
      <c r="L21" s="331"/>
      <c r="M21" s="206"/>
      <c r="N21" s="206"/>
      <c r="O21" s="322"/>
      <c r="P21" s="206"/>
      <c r="Q21" s="206"/>
      <c r="R21" s="322"/>
      <c r="U21" s="204" t="s">
        <v>195</v>
      </c>
      <c r="V21" s="331"/>
      <c r="W21" s="206"/>
      <c r="X21" s="206"/>
      <c r="Y21" s="318"/>
      <c r="Z21" s="206"/>
      <c r="AA21" s="206"/>
      <c r="AB21" s="322"/>
      <c r="AE21" s="204" t="s">
        <v>195</v>
      </c>
      <c r="AF21" s="331"/>
      <c r="AG21" s="206"/>
      <c r="AH21" s="206"/>
      <c r="AI21" s="214"/>
      <c r="AJ21" s="206"/>
      <c r="AK21" s="206"/>
      <c r="AL21" s="215"/>
      <c r="AM21" s="341"/>
      <c r="AN21" s="204" t="s">
        <v>195</v>
      </c>
      <c r="AO21" s="322"/>
      <c r="AP21" s="206"/>
      <c r="AQ21" s="206"/>
      <c r="AR21" s="214"/>
      <c r="AS21" s="206"/>
      <c r="AT21" s="206"/>
      <c r="AU21" s="215"/>
      <c r="AV21" s="341"/>
    </row>
    <row r="22" spans="1:48">
      <c r="A22" s="204" t="s">
        <v>196</v>
      </c>
      <c r="B22" s="322"/>
      <c r="C22" s="206"/>
      <c r="D22" s="206"/>
      <c r="E22" s="322"/>
      <c r="F22" s="206"/>
      <c r="G22" s="206"/>
      <c r="H22" s="322"/>
      <c r="K22" s="204" t="s">
        <v>196</v>
      </c>
      <c r="L22" s="331"/>
      <c r="M22" s="206"/>
      <c r="N22" s="206"/>
      <c r="O22" s="322"/>
      <c r="P22" s="206"/>
      <c r="Q22" s="206"/>
      <c r="R22" s="322"/>
      <c r="U22" s="204" t="s">
        <v>196</v>
      </c>
      <c r="V22" s="331"/>
      <c r="W22" s="206"/>
      <c r="X22" s="206"/>
      <c r="Y22" s="318"/>
      <c r="Z22" s="206"/>
      <c r="AA22" s="206"/>
      <c r="AB22" s="322"/>
      <c r="AE22" s="204" t="s">
        <v>196</v>
      </c>
      <c r="AF22" s="331"/>
      <c r="AG22" s="206"/>
      <c r="AH22" s="206"/>
      <c r="AI22" s="214"/>
      <c r="AJ22" s="206"/>
      <c r="AK22" s="206"/>
      <c r="AL22" s="215"/>
      <c r="AM22" s="341"/>
      <c r="AN22" s="204" t="s">
        <v>196</v>
      </c>
      <c r="AO22" s="322"/>
      <c r="AP22" s="206"/>
      <c r="AQ22" s="206"/>
      <c r="AR22" s="214"/>
      <c r="AS22" s="206"/>
      <c r="AT22" s="206"/>
      <c r="AU22" s="215"/>
      <c r="AV22" s="341"/>
    </row>
    <row r="23" spans="1:48">
      <c r="A23" s="204" t="s">
        <v>197</v>
      </c>
      <c r="B23" s="322"/>
      <c r="C23" s="206"/>
      <c r="D23" s="206"/>
      <c r="E23" s="322"/>
      <c r="F23" s="206"/>
      <c r="G23" s="206"/>
      <c r="H23" s="322"/>
      <c r="K23" s="204" t="s">
        <v>197</v>
      </c>
      <c r="L23" s="331"/>
      <c r="M23" s="206"/>
      <c r="N23" s="206"/>
      <c r="O23" s="322"/>
      <c r="P23" s="206"/>
      <c r="Q23" s="206"/>
      <c r="R23" s="322"/>
      <c r="U23" s="204" t="s">
        <v>197</v>
      </c>
      <c r="V23" s="331"/>
      <c r="W23" s="206"/>
      <c r="X23" s="206"/>
      <c r="Y23" s="318"/>
      <c r="Z23" s="206"/>
      <c r="AA23" s="206"/>
      <c r="AB23" s="322"/>
      <c r="AE23" s="204" t="s">
        <v>197</v>
      </c>
      <c r="AF23" s="331"/>
      <c r="AG23" s="206"/>
      <c r="AH23" s="206"/>
      <c r="AI23" s="214"/>
      <c r="AJ23" s="206"/>
      <c r="AK23" s="206"/>
      <c r="AL23" s="215"/>
      <c r="AM23" s="341"/>
      <c r="AN23" s="204" t="s">
        <v>197</v>
      </c>
      <c r="AO23" s="322"/>
      <c r="AP23" s="206"/>
      <c r="AQ23" s="206"/>
      <c r="AR23" s="214"/>
      <c r="AS23" s="206"/>
      <c r="AT23" s="206"/>
      <c r="AU23" s="215"/>
      <c r="AV23" s="341"/>
    </row>
    <row r="24" spans="1:48">
      <c r="A24" s="204" t="s">
        <v>198</v>
      </c>
      <c r="B24" s="322"/>
      <c r="C24" s="206"/>
      <c r="D24" s="206"/>
      <c r="E24" s="322"/>
      <c r="F24" s="206"/>
      <c r="G24" s="206"/>
      <c r="H24" s="322"/>
      <c r="K24" s="204" t="s">
        <v>198</v>
      </c>
      <c r="L24" s="331"/>
      <c r="M24" s="206"/>
      <c r="N24" s="206"/>
      <c r="O24" s="322"/>
      <c r="P24" s="206"/>
      <c r="Q24" s="206"/>
      <c r="R24" s="322"/>
      <c r="U24" s="204" t="s">
        <v>198</v>
      </c>
      <c r="V24" s="331"/>
      <c r="W24" s="206"/>
      <c r="X24" s="206"/>
      <c r="Y24" s="319"/>
      <c r="Z24" s="206"/>
      <c r="AA24" s="206"/>
      <c r="AB24" s="322"/>
      <c r="AE24" s="204" t="s">
        <v>198</v>
      </c>
      <c r="AF24" s="331"/>
      <c r="AG24" s="206"/>
      <c r="AH24" s="206"/>
      <c r="AI24" s="216"/>
      <c r="AJ24" s="206"/>
      <c r="AK24" s="206"/>
      <c r="AL24" s="337" t="s">
        <v>194</v>
      </c>
      <c r="AM24" s="341"/>
      <c r="AN24" s="204" t="s">
        <v>199</v>
      </c>
      <c r="AO24" s="322"/>
      <c r="AP24" s="206"/>
      <c r="AQ24" s="206"/>
      <c r="AR24" s="216"/>
      <c r="AS24" s="206"/>
      <c r="AT24" s="206"/>
      <c r="AU24" s="337" t="s">
        <v>194</v>
      </c>
      <c r="AV24" s="341"/>
    </row>
    <row r="25" spans="1:48">
      <c r="A25" s="204" t="s">
        <v>200</v>
      </c>
      <c r="B25" s="322"/>
      <c r="C25" s="206"/>
      <c r="D25" s="206"/>
      <c r="E25" s="322"/>
      <c r="F25" s="206"/>
      <c r="G25" s="206"/>
      <c r="H25" s="322"/>
      <c r="K25" s="204" t="s">
        <v>200</v>
      </c>
      <c r="L25" s="331"/>
      <c r="M25" s="206"/>
      <c r="N25" s="206"/>
      <c r="O25" s="322"/>
      <c r="P25" s="206"/>
      <c r="Q25" s="206"/>
      <c r="R25" s="322"/>
      <c r="U25" s="204" t="s">
        <v>200</v>
      </c>
      <c r="V25" s="331"/>
      <c r="W25" s="206"/>
      <c r="X25" s="206"/>
      <c r="Y25" s="330" t="s">
        <v>194</v>
      </c>
      <c r="Z25" s="206"/>
      <c r="AA25" s="206"/>
      <c r="AB25" s="322"/>
      <c r="AE25" s="204" t="s">
        <v>200</v>
      </c>
      <c r="AF25" s="331"/>
      <c r="AG25" s="206"/>
      <c r="AH25" s="206"/>
      <c r="AI25" s="330" t="s">
        <v>194</v>
      </c>
      <c r="AJ25" s="206"/>
      <c r="AK25" s="206"/>
      <c r="AL25" s="338"/>
      <c r="AM25" s="341"/>
      <c r="AN25" s="204" t="s">
        <v>200</v>
      </c>
      <c r="AO25" s="322"/>
      <c r="AP25" s="206"/>
      <c r="AQ25" s="206"/>
      <c r="AR25" s="330" t="s">
        <v>194</v>
      </c>
      <c r="AS25" s="206"/>
      <c r="AT25" s="206"/>
      <c r="AU25" s="338"/>
      <c r="AV25" s="341"/>
    </row>
    <row r="26" spans="1:48">
      <c r="A26" s="204" t="s">
        <v>201</v>
      </c>
      <c r="B26" s="322"/>
      <c r="C26" s="206"/>
      <c r="D26" s="206"/>
      <c r="E26" s="322"/>
      <c r="F26" s="206"/>
      <c r="G26" s="206"/>
      <c r="H26" s="322"/>
      <c r="K26" s="204" t="s">
        <v>201</v>
      </c>
      <c r="L26" s="331"/>
      <c r="M26" s="206"/>
      <c r="N26" s="206"/>
      <c r="O26" s="322"/>
      <c r="P26" s="206"/>
      <c r="Q26" s="206"/>
      <c r="R26" s="322"/>
      <c r="U26" s="204" t="s">
        <v>201</v>
      </c>
      <c r="V26" s="331"/>
      <c r="W26" s="206"/>
      <c r="X26" s="206"/>
      <c r="Y26" s="333"/>
      <c r="Z26" s="206"/>
      <c r="AA26" s="206"/>
      <c r="AB26" s="322"/>
      <c r="AE26" s="204" t="s">
        <v>201</v>
      </c>
      <c r="AF26" s="331"/>
      <c r="AG26" s="206"/>
      <c r="AH26" s="206"/>
      <c r="AI26" s="333"/>
      <c r="AJ26" s="206"/>
      <c r="AK26" s="206"/>
      <c r="AL26" s="338"/>
      <c r="AM26" s="341"/>
      <c r="AN26" s="204" t="s">
        <v>201</v>
      </c>
      <c r="AO26" s="322"/>
      <c r="AP26" s="206"/>
      <c r="AQ26" s="206"/>
      <c r="AR26" s="333"/>
      <c r="AS26" s="206"/>
      <c r="AT26" s="206"/>
      <c r="AU26" s="338"/>
      <c r="AV26" s="341"/>
    </row>
    <row r="27" spans="1:48">
      <c r="A27" s="204" t="s">
        <v>202</v>
      </c>
      <c r="B27" s="323"/>
      <c r="C27" s="207"/>
      <c r="D27" s="207"/>
      <c r="E27" s="323"/>
      <c r="F27" s="207"/>
      <c r="G27" s="207"/>
      <c r="H27" s="323"/>
      <c r="K27" s="204" t="s">
        <v>202</v>
      </c>
      <c r="L27" s="332"/>
      <c r="M27" s="207"/>
      <c r="N27" s="207"/>
      <c r="O27" s="323"/>
      <c r="P27" s="207"/>
      <c r="Q27" s="207"/>
      <c r="R27" s="323"/>
      <c r="U27" s="204" t="s">
        <v>202</v>
      </c>
      <c r="V27" s="332"/>
      <c r="W27" s="207"/>
      <c r="X27" s="207"/>
      <c r="Y27" s="334"/>
      <c r="Z27" s="207"/>
      <c r="AA27" s="207"/>
      <c r="AB27" s="323"/>
      <c r="AE27" s="204" t="s">
        <v>202</v>
      </c>
      <c r="AF27" s="332"/>
      <c r="AG27" s="207"/>
      <c r="AH27" s="207"/>
      <c r="AI27" s="334"/>
      <c r="AJ27" s="207"/>
      <c r="AK27" s="207"/>
      <c r="AL27" s="339"/>
      <c r="AM27" s="342"/>
      <c r="AN27" s="204" t="s">
        <v>202</v>
      </c>
      <c r="AO27" s="323"/>
      <c r="AP27" s="207"/>
      <c r="AQ27" s="207"/>
      <c r="AR27" s="334"/>
      <c r="AS27" s="207"/>
      <c r="AT27" s="207"/>
      <c r="AU27" s="339"/>
      <c r="AV27" s="342"/>
    </row>
    <row r="28" spans="1:48">
      <c r="A28" s="204" t="s">
        <v>203</v>
      </c>
      <c r="B28" s="320">
        <v>1.25</v>
      </c>
      <c r="C28" s="208"/>
      <c r="D28" s="208"/>
      <c r="E28" s="320">
        <v>1.25</v>
      </c>
      <c r="F28" s="208"/>
      <c r="G28" s="208"/>
      <c r="H28" s="320">
        <v>1.25</v>
      </c>
      <c r="K28" s="204" t="s">
        <v>203</v>
      </c>
      <c r="M28" s="208"/>
      <c r="N28" s="208"/>
      <c r="O28" s="320">
        <v>1.25</v>
      </c>
      <c r="P28" s="208"/>
      <c r="Q28" s="208"/>
      <c r="R28" s="320">
        <v>1.25</v>
      </c>
      <c r="U28" s="204" t="s">
        <v>203</v>
      </c>
      <c r="W28" s="208"/>
      <c r="X28" s="208"/>
      <c r="Y28" s="209"/>
      <c r="Z28" s="208"/>
      <c r="AA28" s="208"/>
      <c r="AB28" s="320">
        <v>1.25</v>
      </c>
      <c r="AE28" s="204" t="s">
        <v>203</v>
      </c>
      <c r="AG28" s="208"/>
      <c r="AH28" s="208"/>
      <c r="AI28" s="209"/>
      <c r="AJ28" s="208"/>
      <c r="AK28" s="208"/>
      <c r="AM28" s="217">
        <v>1.25</v>
      </c>
      <c r="AN28" s="204" t="s">
        <v>203</v>
      </c>
      <c r="AO28" s="320">
        <v>1.25</v>
      </c>
      <c r="AP28" s="208"/>
      <c r="AQ28" s="208"/>
      <c r="AR28" s="209"/>
      <c r="AS28" s="208"/>
      <c r="AT28" s="208"/>
      <c r="AV28" s="217">
        <v>1.25</v>
      </c>
    </row>
    <row r="29" spans="1:48">
      <c r="A29" s="204" t="s">
        <v>204</v>
      </c>
      <c r="B29" s="324"/>
      <c r="C29" s="209"/>
      <c r="D29" s="209"/>
      <c r="E29" s="324"/>
      <c r="F29" s="209"/>
      <c r="G29" s="209"/>
      <c r="H29" s="324"/>
      <c r="K29" s="204" t="s">
        <v>204</v>
      </c>
      <c r="M29" s="209"/>
      <c r="N29" s="209"/>
      <c r="O29" s="324"/>
      <c r="P29" s="209"/>
      <c r="Q29" s="209"/>
      <c r="R29" s="324"/>
      <c r="U29" s="204" t="s">
        <v>204</v>
      </c>
      <c r="W29" s="209"/>
      <c r="X29" s="209"/>
      <c r="Y29" s="209"/>
      <c r="Z29" s="209"/>
      <c r="AA29" s="209"/>
      <c r="AB29" s="324"/>
      <c r="AE29" s="204" t="s">
        <v>204</v>
      </c>
      <c r="AG29" s="209"/>
      <c r="AH29" s="209"/>
      <c r="AI29" s="209"/>
      <c r="AJ29" s="209"/>
      <c r="AK29" s="209"/>
      <c r="AN29" s="204" t="s">
        <v>204</v>
      </c>
      <c r="AO29" s="324"/>
      <c r="AP29" s="209"/>
      <c r="AQ29" s="209"/>
      <c r="AR29" s="209"/>
      <c r="AS29" s="209"/>
      <c r="AT29" s="209"/>
    </row>
    <row r="32" spans="1:48">
      <c r="B32" s="200" t="s">
        <v>205</v>
      </c>
      <c r="L32" s="200" t="s">
        <v>205</v>
      </c>
      <c r="V32" s="200" t="s">
        <v>205</v>
      </c>
      <c r="AF32" s="200" t="s">
        <v>205</v>
      </c>
      <c r="AO32" s="200" t="s">
        <v>205</v>
      </c>
    </row>
    <row r="33" spans="1:48">
      <c r="B33" s="200" t="s">
        <v>206</v>
      </c>
      <c r="L33" s="200" t="s">
        <v>206</v>
      </c>
      <c r="V33" s="200" t="s">
        <v>206</v>
      </c>
      <c r="AF33" s="200" t="s">
        <v>206</v>
      </c>
      <c r="AO33" s="200" t="s">
        <v>206</v>
      </c>
    </row>
    <row r="34" spans="1:48">
      <c r="B34" s="201" t="s">
        <v>168</v>
      </c>
      <c r="C34" s="202" t="s">
        <v>169</v>
      </c>
      <c r="D34" s="202" t="s">
        <v>161</v>
      </c>
      <c r="E34" s="201" t="s">
        <v>170</v>
      </c>
      <c r="F34" s="202" t="s">
        <v>162</v>
      </c>
      <c r="G34" s="202" t="s">
        <v>163</v>
      </c>
      <c r="H34" s="203" t="s">
        <v>171</v>
      </c>
      <c r="L34" s="201" t="s">
        <v>168</v>
      </c>
      <c r="M34" s="202" t="s">
        <v>169</v>
      </c>
      <c r="N34" s="202" t="s">
        <v>161</v>
      </c>
      <c r="O34" s="201" t="s">
        <v>170</v>
      </c>
      <c r="P34" s="202" t="s">
        <v>162</v>
      </c>
      <c r="Q34" s="202" t="s">
        <v>163</v>
      </c>
      <c r="R34" s="203" t="s">
        <v>171</v>
      </c>
      <c r="V34" s="201" t="s">
        <v>168</v>
      </c>
      <c r="W34" s="202" t="s">
        <v>169</v>
      </c>
      <c r="X34" s="202" t="s">
        <v>161</v>
      </c>
      <c r="Y34" s="201" t="s">
        <v>170</v>
      </c>
      <c r="Z34" s="202" t="s">
        <v>162</v>
      </c>
      <c r="AA34" s="202" t="s">
        <v>163</v>
      </c>
      <c r="AB34" s="203" t="s">
        <v>171</v>
      </c>
      <c r="AF34" s="201" t="s">
        <v>168</v>
      </c>
      <c r="AG34" s="202" t="s">
        <v>169</v>
      </c>
      <c r="AH34" s="202" t="s">
        <v>161</v>
      </c>
      <c r="AI34" s="201" t="s">
        <v>170</v>
      </c>
      <c r="AJ34" s="202" t="s">
        <v>162</v>
      </c>
      <c r="AK34" s="202" t="s">
        <v>163</v>
      </c>
      <c r="AL34" s="203" t="s">
        <v>171</v>
      </c>
      <c r="AO34" s="201" t="s">
        <v>168</v>
      </c>
      <c r="AP34" s="202" t="s">
        <v>169</v>
      </c>
      <c r="AQ34" s="202" t="s">
        <v>161</v>
      </c>
      <c r="AR34" s="201" t="s">
        <v>170</v>
      </c>
      <c r="AS34" s="202" t="s">
        <v>162</v>
      </c>
      <c r="AT34" s="202" t="s">
        <v>163</v>
      </c>
      <c r="AU34" s="203" t="s">
        <v>171</v>
      </c>
      <c r="AV34" s="203" t="s">
        <v>191</v>
      </c>
    </row>
    <row r="35" spans="1:48" ht="13.5" customHeight="1">
      <c r="A35" s="204" t="s">
        <v>172</v>
      </c>
      <c r="B35" s="317" t="s">
        <v>207</v>
      </c>
      <c r="C35" s="205"/>
      <c r="D35" s="205"/>
      <c r="E35" s="317" t="s">
        <v>208</v>
      </c>
      <c r="F35" s="205"/>
      <c r="G35" s="205"/>
      <c r="H35" s="317" t="s">
        <v>208</v>
      </c>
      <c r="K35" s="204" t="s">
        <v>209</v>
      </c>
      <c r="L35" s="330" t="s">
        <v>194</v>
      </c>
      <c r="M35" s="205"/>
      <c r="N35" s="205"/>
      <c r="O35" s="317" t="s">
        <v>208</v>
      </c>
      <c r="P35" s="205"/>
      <c r="Q35" s="205"/>
      <c r="R35" s="317" t="s">
        <v>208</v>
      </c>
      <c r="U35" s="204" t="s">
        <v>209</v>
      </c>
      <c r="V35" s="330" t="s">
        <v>194</v>
      </c>
      <c r="W35" s="205"/>
      <c r="X35" s="205"/>
      <c r="Y35" s="317" t="s">
        <v>210</v>
      </c>
      <c r="Z35" s="205"/>
      <c r="AA35" s="205"/>
      <c r="AB35" s="317" t="s">
        <v>208</v>
      </c>
      <c r="AE35" s="204" t="s">
        <v>209</v>
      </c>
      <c r="AF35" s="330" t="s">
        <v>194</v>
      </c>
      <c r="AG35" s="205"/>
      <c r="AH35" s="205"/>
      <c r="AI35" s="212"/>
      <c r="AJ35" s="205"/>
      <c r="AK35" s="205"/>
      <c r="AL35" s="213"/>
      <c r="AM35" s="317" t="s">
        <v>208</v>
      </c>
      <c r="AN35" s="204" t="s">
        <v>209</v>
      </c>
      <c r="AO35" s="317" t="s">
        <v>208</v>
      </c>
      <c r="AP35" s="205"/>
      <c r="AQ35" s="205"/>
      <c r="AR35" s="212"/>
      <c r="AS35" s="205"/>
      <c r="AT35" s="205"/>
      <c r="AU35" s="213"/>
      <c r="AV35" s="317" t="s">
        <v>208</v>
      </c>
    </row>
    <row r="36" spans="1:48">
      <c r="A36" s="204" t="s">
        <v>211</v>
      </c>
      <c r="B36" s="318"/>
      <c r="C36" s="206"/>
      <c r="D36" s="206"/>
      <c r="E36" s="318"/>
      <c r="F36" s="206"/>
      <c r="G36" s="206"/>
      <c r="H36" s="318"/>
      <c r="K36" s="204" t="s">
        <v>211</v>
      </c>
      <c r="L36" s="331"/>
      <c r="M36" s="206"/>
      <c r="N36" s="206"/>
      <c r="O36" s="318"/>
      <c r="P36" s="206"/>
      <c r="Q36" s="206"/>
      <c r="R36" s="318"/>
      <c r="U36" s="204" t="s">
        <v>211</v>
      </c>
      <c r="V36" s="331"/>
      <c r="W36" s="206"/>
      <c r="X36" s="206"/>
      <c r="Y36" s="335"/>
      <c r="Z36" s="206"/>
      <c r="AA36" s="206"/>
      <c r="AB36" s="318"/>
      <c r="AE36" s="204" t="s">
        <v>211</v>
      </c>
      <c r="AF36" s="331"/>
      <c r="AG36" s="206"/>
      <c r="AH36" s="206"/>
      <c r="AI36" s="214"/>
      <c r="AJ36" s="206"/>
      <c r="AK36" s="206"/>
      <c r="AL36" s="215"/>
      <c r="AM36" s="318"/>
      <c r="AN36" s="204" t="s">
        <v>211</v>
      </c>
      <c r="AO36" s="318"/>
      <c r="AP36" s="206"/>
      <c r="AQ36" s="206"/>
      <c r="AR36" s="214"/>
      <c r="AS36" s="206"/>
      <c r="AT36" s="206"/>
      <c r="AU36" s="215"/>
      <c r="AV36" s="318"/>
    </row>
    <row r="37" spans="1:48">
      <c r="A37" s="204" t="s">
        <v>212</v>
      </c>
      <c r="B37" s="318"/>
      <c r="C37" s="206"/>
      <c r="D37" s="206"/>
      <c r="E37" s="318"/>
      <c r="F37" s="206"/>
      <c r="G37" s="206"/>
      <c r="H37" s="318"/>
      <c r="K37" s="204" t="s">
        <v>212</v>
      </c>
      <c r="L37" s="331"/>
      <c r="M37" s="206"/>
      <c r="N37" s="206"/>
      <c r="O37" s="318"/>
      <c r="P37" s="206"/>
      <c r="Q37" s="206"/>
      <c r="R37" s="318"/>
      <c r="U37" s="204" t="s">
        <v>212</v>
      </c>
      <c r="V37" s="331"/>
      <c r="W37" s="206"/>
      <c r="X37" s="206"/>
      <c r="Y37" s="335"/>
      <c r="Z37" s="206"/>
      <c r="AA37" s="206"/>
      <c r="AB37" s="318"/>
      <c r="AE37" s="204" t="s">
        <v>212</v>
      </c>
      <c r="AF37" s="331"/>
      <c r="AG37" s="206"/>
      <c r="AH37" s="206"/>
      <c r="AI37" s="214"/>
      <c r="AJ37" s="206"/>
      <c r="AK37" s="206"/>
      <c r="AL37" s="215"/>
      <c r="AM37" s="318"/>
      <c r="AN37" s="204" t="s">
        <v>212</v>
      </c>
      <c r="AO37" s="318"/>
      <c r="AP37" s="206"/>
      <c r="AQ37" s="206"/>
      <c r="AR37" s="214"/>
      <c r="AS37" s="206"/>
      <c r="AT37" s="206"/>
      <c r="AU37" s="215"/>
      <c r="AV37" s="318"/>
    </row>
    <row r="38" spans="1:48">
      <c r="A38" s="204" t="s">
        <v>213</v>
      </c>
      <c r="B38" s="318"/>
      <c r="C38" s="206"/>
      <c r="D38" s="206"/>
      <c r="E38" s="318"/>
      <c r="F38" s="206"/>
      <c r="G38" s="206"/>
      <c r="H38" s="318"/>
      <c r="K38" s="204" t="s">
        <v>213</v>
      </c>
      <c r="L38" s="331"/>
      <c r="M38" s="206"/>
      <c r="N38" s="206"/>
      <c r="O38" s="318"/>
      <c r="P38" s="206"/>
      <c r="Q38" s="206"/>
      <c r="R38" s="318"/>
      <c r="U38" s="204" t="s">
        <v>213</v>
      </c>
      <c r="V38" s="331"/>
      <c r="W38" s="206"/>
      <c r="X38" s="206"/>
      <c r="Y38" s="335"/>
      <c r="Z38" s="206"/>
      <c r="AA38" s="206"/>
      <c r="AB38" s="318"/>
      <c r="AE38" s="204" t="s">
        <v>213</v>
      </c>
      <c r="AF38" s="331"/>
      <c r="AG38" s="206"/>
      <c r="AH38" s="206"/>
      <c r="AI38" s="214"/>
      <c r="AJ38" s="206"/>
      <c r="AK38" s="206"/>
      <c r="AL38" s="215"/>
      <c r="AM38" s="318"/>
      <c r="AN38" s="204" t="s">
        <v>213</v>
      </c>
      <c r="AO38" s="318"/>
      <c r="AP38" s="206"/>
      <c r="AQ38" s="206"/>
      <c r="AR38" s="214"/>
      <c r="AS38" s="206"/>
      <c r="AT38" s="206"/>
      <c r="AU38" s="215"/>
      <c r="AV38" s="318"/>
    </row>
    <row r="39" spans="1:48">
      <c r="A39" s="204" t="s">
        <v>214</v>
      </c>
      <c r="B39" s="318"/>
      <c r="C39" s="206"/>
      <c r="D39" s="206"/>
      <c r="E39" s="318"/>
      <c r="F39" s="206"/>
      <c r="G39" s="206"/>
      <c r="H39" s="318"/>
      <c r="K39" s="204" t="s">
        <v>214</v>
      </c>
      <c r="L39" s="331"/>
      <c r="M39" s="206"/>
      <c r="N39" s="206"/>
      <c r="O39" s="318"/>
      <c r="P39" s="206"/>
      <c r="Q39" s="206"/>
      <c r="R39" s="318"/>
      <c r="U39" s="204" t="s">
        <v>214</v>
      </c>
      <c r="V39" s="331"/>
      <c r="W39" s="206"/>
      <c r="X39" s="206"/>
      <c r="Y39" s="336"/>
      <c r="Z39" s="206"/>
      <c r="AA39" s="206"/>
      <c r="AB39" s="318"/>
      <c r="AE39" s="204" t="s">
        <v>214</v>
      </c>
      <c r="AF39" s="331"/>
      <c r="AG39" s="206"/>
      <c r="AH39" s="206"/>
      <c r="AI39" s="216"/>
      <c r="AJ39" s="206"/>
      <c r="AK39" s="206"/>
      <c r="AL39" s="337" t="s">
        <v>194</v>
      </c>
      <c r="AM39" s="318"/>
      <c r="AN39" s="204" t="s">
        <v>199</v>
      </c>
      <c r="AO39" s="318"/>
      <c r="AP39" s="206"/>
      <c r="AQ39" s="206"/>
      <c r="AR39" s="216"/>
      <c r="AS39" s="206"/>
      <c r="AT39" s="206"/>
      <c r="AU39" s="337" t="s">
        <v>194</v>
      </c>
      <c r="AV39" s="318"/>
    </row>
    <row r="40" spans="1:48">
      <c r="A40" s="204" t="s">
        <v>200</v>
      </c>
      <c r="B40" s="318"/>
      <c r="C40" s="206"/>
      <c r="D40" s="206"/>
      <c r="E40" s="318"/>
      <c r="F40" s="206"/>
      <c r="G40" s="206"/>
      <c r="H40" s="318"/>
      <c r="K40" s="204" t="s">
        <v>200</v>
      </c>
      <c r="L40" s="331"/>
      <c r="M40" s="206"/>
      <c r="N40" s="206"/>
      <c r="O40" s="318"/>
      <c r="P40" s="206"/>
      <c r="Q40" s="206"/>
      <c r="R40" s="318"/>
      <c r="U40" s="204" t="s">
        <v>200</v>
      </c>
      <c r="V40" s="331"/>
      <c r="W40" s="206"/>
      <c r="X40" s="206"/>
      <c r="Y40" s="330" t="s">
        <v>194</v>
      </c>
      <c r="Z40" s="206"/>
      <c r="AA40" s="206"/>
      <c r="AB40" s="318"/>
      <c r="AE40" s="204" t="s">
        <v>200</v>
      </c>
      <c r="AF40" s="331"/>
      <c r="AG40" s="206"/>
      <c r="AH40" s="206"/>
      <c r="AI40" s="330" t="s">
        <v>194</v>
      </c>
      <c r="AJ40" s="206"/>
      <c r="AK40" s="206"/>
      <c r="AL40" s="338"/>
      <c r="AM40" s="318"/>
      <c r="AN40" s="204" t="s">
        <v>200</v>
      </c>
      <c r="AO40" s="318"/>
      <c r="AP40" s="206"/>
      <c r="AQ40" s="206"/>
      <c r="AR40" s="330" t="s">
        <v>194</v>
      </c>
      <c r="AS40" s="206"/>
      <c r="AT40" s="206"/>
      <c r="AU40" s="338"/>
      <c r="AV40" s="318"/>
    </row>
    <row r="41" spans="1:48">
      <c r="A41" s="204" t="s">
        <v>201</v>
      </c>
      <c r="B41" s="318"/>
      <c r="C41" s="206"/>
      <c r="D41" s="206"/>
      <c r="E41" s="318"/>
      <c r="F41" s="206"/>
      <c r="G41" s="206"/>
      <c r="H41" s="318"/>
      <c r="K41" s="204" t="s">
        <v>201</v>
      </c>
      <c r="L41" s="331"/>
      <c r="M41" s="206"/>
      <c r="N41" s="206"/>
      <c r="O41" s="318"/>
      <c r="P41" s="206"/>
      <c r="Q41" s="206"/>
      <c r="R41" s="318"/>
      <c r="U41" s="204" t="s">
        <v>201</v>
      </c>
      <c r="V41" s="331"/>
      <c r="W41" s="206"/>
      <c r="X41" s="206"/>
      <c r="Y41" s="333"/>
      <c r="Z41" s="206"/>
      <c r="AA41" s="206"/>
      <c r="AB41" s="318"/>
      <c r="AE41" s="204" t="s">
        <v>201</v>
      </c>
      <c r="AF41" s="331"/>
      <c r="AG41" s="206"/>
      <c r="AH41" s="206"/>
      <c r="AI41" s="333"/>
      <c r="AJ41" s="206"/>
      <c r="AK41" s="206"/>
      <c r="AL41" s="338"/>
      <c r="AM41" s="318"/>
      <c r="AN41" s="204" t="s">
        <v>201</v>
      </c>
      <c r="AO41" s="318"/>
      <c r="AP41" s="206"/>
      <c r="AQ41" s="206"/>
      <c r="AR41" s="333"/>
      <c r="AS41" s="206"/>
      <c r="AT41" s="206"/>
      <c r="AU41" s="338"/>
      <c r="AV41" s="318"/>
    </row>
    <row r="42" spans="1:48">
      <c r="A42" s="204" t="s">
        <v>202</v>
      </c>
      <c r="B42" s="319"/>
      <c r="C42" s="207"/>
      <c r="D42" s="207"/>
      <c r="E42" s="319"/>
      <c r="F42" s="207"/>
      <c r="G42" s="207"/>
      <c r="H42" s="319"/>
      <c r="K42" s="204" t="s">
        <v>202</v>
      </c>
      <c r="L42" s="332"/>
      <c r="M42" s="207"/>
      <c r="N42" s="207"/>
      <c r="O42" s="319"/>
      <c r="P42" s="207"/>
      <c r="Q42" s="207"/>
      <c r="R42" s="319"/>
      <c r="U42" s="204" t="s">
        <v>202</v>
      </c>
      <c r="V42" s="332"/>
      <c r="W42" s="207"/>
      <c r="X42" s="207"/>
      <c r="Y42" s="334"/>
      <c r="Z42" s="207"/>
      <c r="AA42" s="207"/>
      <c r="AB42" s="319"/>
      <c r="AE42" s="204" t="s">
        <v>202</v>
      </c>
      <c r="AF42" s="332"/>
      <c r="AG42" s="207"/>
      <c r="AH42" s="207"/>
      <c r="AI42" s="334"/>
      <c r="AJ42" s="207"/>
      <c r="AK42" s="207"/>
      <c r="AL42" s="339"/>
      <c r="AM42" s="319"/>
      <c r="AN42" s="204" t="s">
        <v>202</v>
      </c>
      <c r="AO42" s="319"/>
      <c r="AP42" s="207"/>
      <c r="AQ42" s="207"/>
      <c r="AR42" s="334"/>
      <c r="AS42" s="207"/>
      <c r="AT42" s="207"/>
      <c r="AU42" s="339"/>
      <c r="AV42" s="319"/>
    </row>
    <row r="43" spans="1:48">
      <c r="A43" s="204" t="s">
        <v>203</v>
      </c>
      <c r="B43" s="328">
        <v>0.1</v>
      </c>
      <c r="C43" s="208"/>
      <c r="D43" s="208"/>
      <c r="E43" s="208"/>
      <c r="F43" s="208"/>
      <c r="G43" s="208"/>
      <c r="H43" s="208"/>
      <c r="K43" s="204" t="s">
        <v>203</v>
      </c>
      <c r="M43" s="208"/>
      <c r="N43" s="208"/>
      <c r="O43" s="208"/>
      <c r="P43" s="208"/>
      <c r="Q43" s="208"/>
      <c r="R43" s="208"/>
      <c r="U43" s="204" t="s">
        <v>203</v>
      </c>
      <c r="W43" s="208"/>
      <c r="X43" s="208"/>
      <c r="Y43" s="209"/>
      <c r="Z43" s="208"/>
      <c r="AA43" s="208"/>
      <c r="AB43" s="208"/>
      <c r="AE43" s="204" t="s">
        <v>203</v>
      </c>
      <c r="AG43" s="208"/>
      <c r="AH43" s="208"/>
      <c r="AI43" s="209"/>
      <c r="AJ43" s="208"/>
      <c r="AK43" s="208"/>
      <c r="AL43" s="208"/>
      <c r="AN43" s="204" t="s">
        <v>203</v>
      </c>
      <c r="AP43" s="208"/>
      <c r="AQ43" s="208"/>
      <c r="AR43" s="209"/>
      <c r="AS43" s="208"/>
      <c r="AT43" s="208"/>
      <c r="AU43" s="208"/>
    </row>
    <row r="44" spans="1:48">
      <c r="A44" s="204" t="s">
        <v>204</v>
      </c>
      <c r="B44" s="329"/>
      <c r="C44" s="218"/>
      <c r="D44" s="209"/>
      <c r="E44" s="209"/>
      <c r="F44" s="209"/>
      <c r="G44" s="209"/>
      <c r="H44" s="209"/>
      <c r="K44" s="204" t="s">
        <v>204</v>
      </c>
      <c r="M44" s="209"/>
      <c r="N44" s="209"/>
      <c r="O44" s="209"/>
      <c r="P44" s="209"/>
      <c r="Q44" s="209"/>
      <c r="R44" s="219"/>
      <c r="U44" s="204" t="s">
        <v>204</v>
      </c>
      <c r="W44" s="209"/>
      <c r="X44" s="209"/>
      <c r="Y44" s="209"/>
      <c r="Z44" s="209"/>
      <c r="AA44" s="209"/>
      <c r="AB44" s="209"/>
      <c r="AE44" s="204" t="s">
        <v>204</v>
      </c>
      <c r="AG44" s="209"/>
      <c r="AH44" s="209"/>
      <c r="AI44" s="209"/>
      <c r="AJ44" s="209"/>
      <c r="AK44" s="209"/>
      <c r="AL44" s="209"/>
      <c r="AN44" s="204" t="s">
        <v>204</v>
      </c>
      <c r="AP44" s="209"/>
      <c r="AQ44" s="209"/>
      <c r="AR44" s="209"/>
      <c r="AS44" s="209"/>
      <c r="AT44" s="209"/>
      <c r="AU44" s="209"/>
    </row>
    <row r="47" spans="1:48">
      <c r="B47" s="200" t="s">
        <v>215</v>
      </c>
      <c r="L47" s="200" t="s">
        <v>215</v>
      </c>
      <c r="V47" s="200" t="s">
        <v>215</v>
      </c>
      <c r="AF47" s="200" t="s">
        <v>215</v>
      </c>
      <c r="AO47" s="200" t="s">
        <v>215</v>
      </c>
    </row>
    <row r="48" spans="1:48">
      <c r="B48" s="200" t="s">
        <v>216</v>
      </c>
      <c r="L48" s="200" t="s">
        <v>216</v>
      </c>
      <c r="V48" s="200" t="s">
        <v>216</v>
      </c>
      <c r="AF48" s="200" t="s">
        <v>216</v>
      </c>
      <c r="AO48" s="200" t="s">
        <v>216</v>
      </c>
    </row>
    <row r="49" spans="1:48">
      <c r="B49" s="201" t="s">
        <v>168</v>
      </c>
      <c r="C49" s="202" t="s">
        <v>169</v>
      </c>
      <c r="D49" s="202" t="s">
        <v>161</v>
      </c>
      <c r="E49" s="201" t="s">
        <v>170</v>
      </c>
      <c r="F49" s="202" t="s">
        <v>162</v>
      </c>
      <c r="G49" s="202" t="s">
        <v>163</v>
      </c>
      <c r="H49" s="203" t="s">
        <v>171</v>
      </c>
      <c r="L49" s="201" t="s">
        <v>168</v>
      </c>
      <c r="M49" s="202" t="s">
        <v>169</v>
      </c>
      <c r="N49" s="202" t="s">
        <v>161</v>
      </c>
      <c r="O49" s="201" t="s">
        <v>170</v>
      </c>
      <c r="P49" s="202" t="s">
        <v>162</v>
      </c>
      <c r="Q49" s="202" t="s">
        <v>163</v>
      </c>
      <c r="R49" s="203" t="s">
        <v>171</v>
      </c>
      <c r="V49" s="201" t="s">
        <v>168</v>
      </c>
      <c r="W49" s="202" t="s">
        <v>169</v>
      </c>
      <c r="X49" s="202" t="s">
        <v>161</v>
      </c>
      <c r="Y49" s="201" t="s">
        <v>170</v>
      </c>
      <c r="Z49" s="202" t="s">
        <v>162</v>
      </c>
      <c r="AA49" s="202" t="s">
        <v>163</v>
      </c>
      <c r="AB49" s="203" t="s">
        <v>171</v>
      </c>
      <c r="AF49" s="201" t="s">
        <v>168</v>
      </c>
      <c r="AG49" s="202" t="s">
        <v>169</v>
      </c>
      <c r="AH49" s="202" t="s">
        <v>161</v>
      </c>
      <c r="AI49" s="201" t="s">
        <v>170</v>
      </c>
      <c r="AJ49" s="202" t="s">
        <v>162</v>
      </c>
      <c r="AK49" s="202" t="s">
        <v>163</v>
      </c>
      <c r="AL49" s="203" t="s">
        <v>171</v>
      </c>
      <c r="AO49" s="201" t="s">
        <v>168</v>
      </c>
      <c r="AP49" s="202" t="s">
        <v>169</v>
      </c>
      <c r="AQ49" s="202" t="s">
        <v>161</v>
      </c>
      <c r="AR49" s="201" t="s">
        <v>170</v>
      </c>
      <c r="AS49" s="202" t="s">
        <v>162</v>
      </c>
      <c r="AT49" s="202" t="s">
        <v>163</v>
      </c>
      <c r="AU49" s="203" t="s">
        <v>171</v>
      </c>
      <c r="AV49" s="203" t="s">
        <v>191</v>
      </c>
    </row>
    <row r="50" spans="1:48" ht="13.5" customHeight="1">
      <c r="A50" s="204" t="s">
        <v>172</v>
      </c>
      <c r="B50" s="325" t="s">
        <v>217</v>
      </c>
      <c r="C50" s="205"/>
      <c r="D50" s="205"/>
      <c r="E50" s="325" t="s">
        <v>217</v>
      </c>
      <c r="F50" s="205"/>
      <c r="G50" s="205"/>
      <c r="H50" s="325" t="s">
        <v>217</v>
      </c>
      <c r="K50" s="204" t="s">
        <v>209</v>
      </c>
      <c r="L50" s="330" t="s">
        <v>194</v>
      </c>
      <c r="M50" s="205"/>
      <c r="N50" s="205"/>
      <c r="O50" s="325" t="s">
        <v>217</v>
      </c>
      <c r="P50" s="205"/>
      <c r="Q50" s="205"/>
      <c r="R50" s="325" t="s">
        <v>217</v>
      </c>
      <c r="U50" s="204" t="s">
        <v>209</v>
      </c>
      <c r="V50" s="330" t="s">
        <v>194</v>
      </c>
      <c r="W50" s="205"/>
      <c r="X50" s="205"/>
      <c r="Y50" s="317" t="s">
        <v>210</v>
      </c>
      <c r="Z50" s="205"/>
      <c r="AA50" s="205"/>
      <c r="AB50" s="325" t="s">
        <v>217</v>
      </c>
      <c r="AE50" s="204" t="s">
        <v>209</v>
      </c>
      <c r="AF50" s="330" t="s">
        <v>194</v>
      </c>
      <c r="AG50" s="205"/>
      <c r="AH50" s="205"/>
      <c r="AI50" s="212"/>
      <c r="AJ50" s="205"/>
      <c r="AK50" s="205"/>
      <c r="AL50" s="213"/>
      <c r="AM50" s="325" t="s">
        <v>217</v>
      </c>
      <c r="AN50" s="204" t="s">
        <v>209</v>
      </c>
      <c r="AO50" s="325" t="s">
        <v>217</v>
      </c>
      <c r="AP50" s="205"/>
      <c r="AQ50" s="205"/>
      <c r="AR50" s="212"/>
      <c r="AS50" s="205"/>
      <c r="AT50" s="205"/>
      <c r="AU50" s="213"/>
      <c r="AV50" s="325" t="s">
        <v>217</v>
      </c>
    </row>
    <row r="51" spans="1:48">
      <c r="A51" s="204" t="s">
        <v>211</v>
      </c>
      <c r="B51" s="326"/>
      <c r="C51" s="206"/>
      <c r="D51" s="206"/>
      <c r="E51" s="326"/>
      <c r="F51" s="206"/>
      <c r="G51" s="206"/>
      <c r="H51" s="326"/>
      <c r="K51" s="204" t="s">
        <v>211</v>
      </c>
      <c r="L51" s="331"/>
      <c r="M51" s="206"/>
      <c r="N51" s="206"/>
      <c r="O51" s="326"/>
      <c r="P51" s="206"/>
      <c r="Q51" s="206"/>
      <c r="R51" s="326"/>
      <c r="U51" s="204" t="s">
        <v>211</v>
      </c>
      <c r="V51" s="331"/>
      <c r="W51" s="206"/>
      <c r="X51" s="206"/>
      <c r="Y51" s="335"/>
      <c r="Z51" s="206"/>
      <c r="AA51" s="206"/>
      <c r="AB51" s="326"/>
      <c r="AE51" s="204" t="s">
        <v>211</v>
      </c>
      <c r="AF51" s="331"/>
      <c r="AG51" s="206"/>
      <c r="AH51" s="206"/>
      <c r="AI51" s="214"/>
      <c r="AJ51" s="206"/>
      <c r="AK51" s="206"/>
      <c r="AL51" s="215"/>
      <c r="AM51" s="326"/>
      <c r="AN51" s="204" t="s">
        <v>211</v>
      </c>
      <c r="AO51" s="326"/>
      <c r="AP51" s="206"/>
      <c r="AQ51" s="206"/>
      <c r="AR51" s="214"/>
      <c r="AS51" s="206"/>
      <c r="AT51" s="206"/>
      <c r="AU51" s="215"/>
      <c r="AV51" s="326"/>
    </row>
    <row r="52" spans="1:48">
      <c r="A52" s="204" t="s">
        <v>212</v>
      </c>
      <c r="B52" s="326"/>
      <c r="C52" s="206"/>
      <c r="D52" s="206"/>
      <c r="E52" s="326"/>
      <c r="F52" s="206"/>
      <c r="G52" s="206"/>
      <c r="H52" s="326"/>
      <c r="K52" s="204" t="s">
        <v>212</v>
      </c>
      <c r="L52" s="331"/>
      <c r="M52" s="206"/>
      <c r="N52" s="206"/>
      <c r="O52" s="326"/>
      <c r="P52" s="206"/>
      <c r="Q52" s="206"/>
      <c r="R52" s="326"/>
      <c r="U52" s="204" t="s">
        <v>212</v>
      </c>
      <c r="V52" s="331"/>
      <c r="W52" s="206"/>
      <c r="X52" s="206"/>
      <c r="Y52" s="335"/>
      <c r="Z52" s="206"/>
      <c r="AA52" s="206"/>
      <c r="AB52" s="326"/>
      <c r="AE52" s="204" t="s">
        <v>212</v>
      </c>
      <c r="AF52" s="331"/>
      <c r="AG52" s="206"/>
      <c r="AH52" s="206"/>
      <c r="AI52" s="214"/>
      <c r="AJ52" s="206"/>
      <c r="AK52" s="206"/>
      <c r="AL52" s="215"/>
      <c r="AM52" s="326"/>
      <c r="AN52" s="204" t="s">
        <v>212</v>
      </c>
      <c r="AO52" s="326"/>
      <c r="AP52" s="206"/>
      <c r="AQ52" s="206"/>
      <c r="AR52" s="214"/>
      <c r="AS52" s="206"/>
      <c r="AT52" s="206"/>
      <c r="AU52" s="215"/>
      <c r="AV52" s="326"/>
    </row>
    <row r="53" spans="1:48">
      <c r="A53" s="204" t="s">
        <v>213</v>
      </c>
      <c r="B53" s="326"/>
      <c r="C53" s="206"/>
      <c r="D53" s="206"/>
      <c r="E53" s="326"/>
      <c r="F53" s="206"/>
      <c r="G53" s="206"/>
      <c r="H53" s="326"/>
      <c r="K53" s="204" t="s">
        <v>213</v>
      </c>
      <c r="L53" s="331"/>
      <c r="M53" s="206"/>
      <c r="N53" s="206"/>
      <c r="O53" s="326"/>
      <c r="P53" s="206"/>
      <c r="Q53" s="206"/>
      <c r="R53" s="326"/>
      <c r="U53" s="204" t="s">
        <v>213</v>
      </c>
      <c r="V53" s="331"/>
      <c r="W53" s="206"/>
      <c r="X53" s="206"/>
      <c r="Y53" s="335"/>
      <c r="Z53" s="206"/>
      <c r="AA53" s="206"/>
      <c r="AB53" s="326"/>
      <c r="AE53" s="204" t="s">
        <v>213</v>
      </c>
      <c r="AF53" s="331"/>
      <c r="AG53" s="206"/>
      <c r="AH53" s="206"/>
      <c r="AI53" s="214"/>
      <c r="AJ53" s="206"/>
      <c r="AK53" s="206"/>
      <c r="AL53" s="215"/>
      <c r="AM53" s="326"/>
      <c r="AN53" s="204" t="s">
        <v>213</v>
      </c>
      <c r="AO53" s="326"/>
      <c r="AP53" s="206"/>
      <c r="AQ53" s="206"/>
      <c r="AR53" s="214"/>
      <c r="AS53" s="206"/>
      <c r="AT53" s="206"/>
      <c r="AU53" s="215"/>
      <c r="AV53" s="326"/>
    </row>
    <row r="54" spans="1:48">
      <c r="A54" s="204" t="s">
        <v>214</v>
      </c>
      <c r="B54" s="326"/>
      <c r="C54" s="206"/>
      <c r="D54" s="206"/>
      <c r="E54" s="326"/>
      <c r="F54" s="206"/>
      <c r="G54" s="206"/>
      <c r="H54" s="326"/>
      <c r="K54" s="204" t="s">
        <v>214</v>
      </c>
      <c r="L54" s="331"/>
      <c r="M54" s="206"/>
      <c r="N54" s="206"/>
      <c r="O54" s="326"/>
      <c r="P54" s="206"/>
      <c r="Q54" s="206"/>
      <c r="R54" s="326"/>
      <c r="U54" s="204" t="s">
        <v>214</v>
      </c>
      <c r="V54" s="331"/>
      <c r="W54" s="206"/>
      <c r="X54" s="206"/>
      <c r="Y54" s="336"/>
      <c r="Z54" s="206"/>
      <c r="AA54" s="206"/>
      <c r="AB54" s="326"/>
      <c r="AE54" s="204" t="s">
        <v>214</v>
      </c>
      <c r="AF54" s="331"/>
      <c r="AG54" s="206"/>
      <c r="AH54" s="206"/>
      <c r="AI54" s="216"/>
      <c r="AJ54" s="206"/>
      <c r="AK54" s="206"/>
      <c r="AL54" s="337" t="s">
        <v>194</v>
      </c>
      <c r="AM54" s="326"/>
      <c r="AN54" s="204" t="s">
        <v>199</v>
      </c>
      <c r="AO54" s="326"/>
      <c r="AP54" s="206"/>
      <c r="AQ54" s="206"/>
      <c r="AR54" s="216"/>
      <c r="AS54" s="206"/>
      <c r="AT54" s="206"/>
      <c r="AU54" s="337" t="s">
        <v>194</v>
      </c>
      <c r="AV54" s="326"/>
    </row>
    <row r="55" spans="1:48">
      <c r="A55" s="204" t="s">
        <v>200</v>
      </c>
      <c r="B55" s="326"/>
      <c r="C55" s="206"/>
      <c r="D55" s="206"/>
      <c r="E55" s="326"/>
      <c r="F55" s="206"/>
      <c r="G55" s="206"/>
      <c r="H55" s="326"/>
      <c r="K55" s="204" t="s">
        <v>200</v>
      </c>
      <c r="L55" s="331"/>
      <c r="M55" s="206"/>
      <c r="N55" s="206"/>
      <c r="O55" s="326"/>
      <c r="P55" s="206"/>
      <c r="Q55" s="206"/>
      <c r="R55" s="326"/>
      <c r="U55" s="204" t="s">
        <v>200</v>
      </c>
      <c r="V55" s="331"/>
      <c r="W55" s="206"/>
      <c r="X55" s="206"/>
      <c r="Y55" s="330" t="s">
        <v>194</v>
      </c>
      <c r="Z55" s="206"/>
      <c r="AA55" s="206"/>
      <c r="AB55" s="326"/>
      <c r="AE55" s="204" t="s">
        <v>200</v>
      </c>
      <c r="AF55" s="331"/>
      <c r="AG55" s="206"/>
      <c r="AH55" s="206"/>
      <c r="AI55" s="330" t="s">
        <v>194</v>
      </c>
      <c r="AJ55" s="206"/>
      <c r="AK55" s="206"/>
      <c r="AL55" s="338"/>
      <c r="AM55" s="326"/>
      <c r="AN55" s="204" t="s">
        <v>200</v>
      </c>
      <c r="AO55" s="326"/>
      <c r="AP55" s="206"/>
      <c r="AQ55" s="206"/>
      <c r="AR55" s="330" t="s">
        <v>194</v>
      </c>
      <c r="AS55" s="206"/>
      <c r="AT55" s="206"/>
      <c r="AU55" s="338"/>
      <c r="AV55" s="326"/>
    </row>
    <row r="56" spans="1:48">
      <c r="A56" s="204" t="s">
        <v>201</v>
      </c>
      <c r="B56" s="326"/>
      <c r="C56" s="206"/>
      <c r="D56" s="206"/>
      <c r="E56" s="326"/>
      <c r="F56" s="206"/>
      <c r="G56" s="206"/>
      <c r="H56" s="326"/>
      <c r="K56" s="204" t="s">
        <v>201</v>
      </c>
      <c r="L56" s="331"/>
      <c r="M56" s="206"/>
      <c r="N56" s="206"/>
      <c r="O56" s="326"/>
      <c r="P56" s="206"/>
      <c r="Q56" s="206"/>
      <c r="R56" s="326"/>
      <c r="U56" s="204" t="s">
        <v>201</v>
      </c>
      <c r="V56" s="331"/>
      <c r="W56" s="206"/>
      <c r="X56" s="206"/>
      <c r="Y56" s="333"/>
      <c r="Z56" s="206"/>
      <c r="AA56" s="206"/>
      <c r="AB56" s="326"/>
      <c r="AE56" s="204" t="s">
        <v>201</v>
      </c>
      <c r="AF56" s="331"/>
      <c r="AG56" s="206"/>
      <c r="AH56" s="206"/>
      <c r="AI56" s="333"/>
      <c r="AJ56" s="206"/>
      <c r="AK56" s="206"/>
      <c r="AL56" s="338"/>
      <c r="AM56" s="326"/>
      <c r="AN56" s="204" t="s">
        <v>201</v>
      </c>
      <c r="AO56" s="326"/>
      <c r="AP56" s="206"/>
      <c r="AQ56" s="206"/>
      <c r="AR56" s="333"/>
      <c r="AS56" s="206"/>
      <c r="AT56" s="206"/>
      <c r="AU56" s="338"/>
      <c r="AV56" s="326"/>
    </row>
    <row r="57" spans="1:48">
      <c r="A57" s="204" t="s">
        <v>202</v>
      </c>
      <c r="B57" s="327"/>
      <c r="C57" s="207"/>
      <c r="D57" s="207"/>
      <c r="E57" s="327"/>
      <c r="F57" s="207"/>
      <c r="G57" s="207"/>
      <c r="H57" s="327"/>
      <c r="K57" s="204" t="s">
        <v>202</v>
      </c>
      <c r="L57" s="332"/>
      <c r="M57" s="207"/>
      <c r="N57" s="207"/>
      <c r="O57" s="327"/>
      <c r="P57" s="207"/>
      <c r="Q57" s="207"/>
      <c r="R57" s="327"/>
      <c r="U57" s="204" t="s">
        <v>202</v>
      </c>
      <c r="V57" s="332"/>
      <c r="W57" s="207"/>
      <c r="X57" s="207"/>
      <c r="Y57" s="334"/>
      <c r="Z57" s="207"/>
      <c r="AA57" s="207"/>
      <c r="AB57" s="327"/>
      <c r="AE57" s="204" t="s">
        <v>202</v>
      </c>
      <c r="AF57" s="332"/>
      <c r="AG57" s="207"/>
      <c r="AH57" s="207"/>
      <c r="AI57" s="334"/>
      <c r="AJ57" s="207"/>
      <c r="AK57" s="207"/>
      <c r="AL57" s="339"/>
      <c r="AM57" s="327"/>
      <c r="AN57" s="204" t="s">
        <v>202</v>
      </c>
      <c r="AO57" s="327"/>
      <c r="AP57" s="207"/>
      <c r="AQ57" s="207"/>
      <c r="AR57" s="334"/>
      <c r="AS57" s="207"/>
      <c r="AT57" s="207"/>
      <c r="AU57" s="339"/>
      <c r="AV57" s="327"/>
    </row>
    <row r="58" spans="1:48">
      <c r="A58" s="204" t="s">
        <v>203</v>
      </c>
      <c r="C58" s="208"/>
      <c r="D58" s="208"/>
      <c r="E58" s="208"/>
      <c r="F58" s="208"/>
      <c r="G58" s="208"/>
      <c r="H58" s="208"/>
      <c r="K58" s="204" t="s">
        <v>203</v>
      </c>
      <c r="M58" s="208"/>
      <c r="N58" s="208"/>
      <c r="O58" s="208"/>
      <c r="P58" s="208"/>
      <c r="Q58" s="208"/>
      <c r="R58" s="208"/>
      <c r="U58" s="204" t="s">
        <v>203</v>
      </c>
      <c r="W58" s="208"/>
      <c r="X58" s="208"/>
      <c r="Y58" s="209"/>
      <c r="Z58" s="208"/>
      <c r="AA58" s="208"/>
      <c r="AB58" s="208"/>
      <c r="AE58" s="204" t="s">
        <v>203</v>
      </c>
      <c r="AG58" s="208"/>
      <c r="AH58" s="208"/>
      <c r="AI58" s="209"/>
      <c r="AJ58" s="208"/>
      <c r="AK58" s="208"/>
      <c r="AL58" s="208"/>
      <c r="AN58" s="204" t="s">
        <v>203</v>
      </c>
      <c r="AP58" s="208"/>
      <c r="AQ58" s="208"/>
      <c r="AR58" s="209"/>
      <c r="AS58" s="208"/>
      <c r="AT58" s="208"/>
      <c r="AU58" s="208"/>
    </row>
    <row r="59" spans="1:48">
      <c r="A59" s="204" t="s">
        <v>204</v>
      </c>
      <c r="C59" s="209"/>
      <c r="D59" s="209"/>
      <c r="E59" s="209"/>
      <c r="F59" s="209"/>
      <c r="G59" s="209"/>
      <c r="H59" s="209"/>
      <c r="K59" s="204" t="s">
        <v>204</v>
      </c>
      <c r="M59" s="209"/>
      <c r="N59" s="209"/>
      <c r="O59" s="209"/>
      <c r="P59" s="209"/>
      <c r="Q59" s="209"/>
      <c r="R59" s="209"/>
      <c r="U59" s="204" t="s">
        <v>204</v>
      </c>
      <c r="W59" s="209"/>
      <c r="X59" s="209"/>
      <c r="Y59" s="209"/>
      <c r="Z59" s="209"/>
      <c r="AA59" s="209"/>
      <c r="AB59" s="209"/>
      <c r="AE59" s="204" t="s">
        <v>204</v>
      </c>
      <c r="AG59" s="209"/>
      <c r="AH59" s="209"/>
      <c r="AI59" s="209"/>
      <c r="AJ59" s="209"/>
      <c r="AK59" s="209"/>
      <c r="AL59" s="209"/>
      <c r="AN59" s="204" t="s">
        <v>204</v>
      </c>
      <c r="AP59" s="209"/>
      <c r="AQ59" s="209"/>
      <c r="AR59" s="209"/>
      <c r="AS59" s="209"/>
      <c r="AT59" s="209"/>
      <c r="AU59" s="209"/>
    </row>
    <row r="61" spans="1:48">
      <c r="U61" s="220"/>
      <c r="AE61" s="220"/>
      <c r="AN61" s="220"/>
    </row>
  </sheetData>
  <sheetProtection password="EBE6" sheet="1" objects="1" scenarios="1"/>
  <mergeCells count="65">
    <mergeCell ref="AV50:AV57"/>
    <mergeCell ref="AU54:AU57"/>
    <mergeCell ref="AR55:AR57"/>
    <mergeCell ref="AV20:AV27"/>
    <mergeCell ref="AU24:AU27"/>
    <mergeCell ref="AR25:AR27"/>
    <mergeCell ref="AV35:AV42"/>
    <mergeCell ref="AU39:AU42"/>
    <mergeCell ref="AR40:AR42"/>
    <mergeCell ref="AF20:AF27"/>
    <mergeCell ref="AB20:AB27"/>
    <mergeCell ref="AO35:AO42"/>
    <mergeCell ref="AO28:AO29"/>
    <mergeCell ref="AL54:AL57"/>
    <mergeCell ref="AM50:AM57"/>
    <mergeCell ref="AF50:AF57"/>
    <mergeCell ref="AI55:AI57"/>
    <mergeCell ref="AF35:AF42"/>
    <mergeCell ref="AI40:AI42"/>
    <mergeCell ref="AL39:AL42"/>
    <mergeCell ref="AO50:AO57"/>
    <mergeCell ref="AL24:AL27"/>
    <mergeCell ref="AM20:AM27"/>
    <mergeCell ref="AO20:AO27"/>
    <mergeCell ref="AI25:AI27"/>
    <mergeCell ref="AM35:AM42"/>
    <mergeCell ref="R50:R57"/>
    <mergeCell ref="R35:R42"/>
    <mergeCell ref="O20:O27"/>
    <mergeCell ref="Y20:Y24"/>
    <mergeCell ref="L35:L42"/>
    <mergeCell ref="V20:V27"/>
    <mergeCell ref="O35:O42"/>
    <mergeCell ref="Y35:Y39"/>
    <mergeCell ref="O50:O57"/>
    <mergeCell ref="H35:H42"/>
    <mergeCell ref="E3:E12"/>
    <mergeCell ref="AB28:AB29"/>
    <mergeCell ref="Y25:Y27"/>
    <mergeCell ref="V35:V42"/>
    <mergeCell ref="AB35:AB42"/>
    <mergeCell ref="L20:L27"/>
    <mergeCell ref="R20:R27"/>
    <mergeCell ref="O28:O29"/>
    <mergeCell ref="R28:R29"/>
    <mergeCell ref="V50:V57"/>
    <mergeCell ref="AB50:AB57"/>
    <mergeCell ref="Y40:Y42"/>
    <mergeCell ref="Y55:Y57"/>
    <mergeCell ref="Y50:Y54"/>
    <mergeCell ref="B50:B57"/>
    <mergeCell ref="E50:E57"/>
    <mergeCell ref="H50:H57"/>
    <mergeCell ref="B43:B44"/>
    <mergeCell ref="L50:L57"/>
    <mergeCell ref="B35:B42"/>
    <mergeCell ref="H3:H12"/>
    <mergeCell ref="B20:B27"/>
    <mergeCell ref="E28:E29"/>
    <mergeCell ref="H28:H29"/>
    <mergeCell ref="H20:H27"/>
    <mergeCell ref="E20:E27"/>
    <mergeCell ref="B3:B12"/>
    <mergeCell ref="B28:B29"/>
    <mergeCell ref="E35:E42"/>
  </mergeCells>
  <phoneticPr fontId="25"/>
  <pageMargins left="0.78700000000000003" right="0.78700000000000003" top="0.8" bottom="0.54" header="0.51200000000000001" footer="0.26"/>
  <pageSetup paperSize="9" orientation="portrait" r:id="rId1"/>
  <headerFooter alignWithMargins="0">
    <oddHeader>&amp;C&amp;A</oddHeader>
    <oddFooter>&amp;C- &amp;P / &amp;N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7</vt:i4>
      </vt:variant>
    </vt:vector>
  </HeadingPairs>
  <TitlesOfParts>
    <vt:vector size="15" baseType="lpstr">
      <vt:lpstr>勤務報告書(上)</vt:lpstr>
      <vt:lpstr>時間外作業報告書(上)</vt:lpstr>
      <vt:lpstr>勤務報告書(下)</vt:lpstr>
      <vt:lpstr>時間外作業報告書(下)</vt:lpstr>
      <vt:lpstr>パラメタ</vt:lpstr>
      <vt:lpstr>記入方法</vt:lpstr>
      <vt:lpstr>残業評価内部規約 (新)</vt:lpstr>
      <vt:lpstr>時間外・法定休日の概念</vt:lpstr>
      <vt:lpstr>'勤務報告書(下)'!Print_Area</vt:lpstr>
      <vt:lpstr>'勤務報告書(上)'!Print_Area</vt:lpstr>
      <vt:lpstr>'時間外作業報告書(下)'!Print_Area</vt:lpstr>
      <vt:lpstr>'時間外作業報告書(上)'!Print_Area</vt:lpstr>
      <vt:lpstr>回数リスト</vt:lpstr>
      <vt:lpstr>申請リスト</vt:lpstr>
      <vt:lpstr>役職リスト</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井上裕之</dc:creator>
  <cp:lastModifiedBy>井上裕之</cp:lastModifiedBy>
  <cp:lastPrinted>2015-03-09T03:40:59Z</cp:lastPrinted>
  <dcterms:created xsi:type="dcterms:W3CDTF">2011-02-09T03:24:04Z</dcterms:created>
  <dcterms:modified xsi:type="dcterms:W3CDTF">2016-02-10T22:19:17Z</dcterms:modified>
</cp:coreProperties>
</file>